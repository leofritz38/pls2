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tudk-my.sharepoint.com/personal/abhisi_dtu_dk/Documents/AS/Biosolutions/HA3/Reduced Order Model/data/"/>
    </mc:Choice>
  </mc:AlternateContent>
  <xr:revisionPtr revIDLastSave="0" documentId="13_ncr:1_{EEA3DA76-8B4B-420C-B2FB-6C384995EFC3}" xr6:coauthVersionLast="47" xr6:coauthVersionMax="47" xr10:uidLastSave="{00000000-0000-0000-0000-000000000000}"/>
  <bookViews>
    <workbookView xWindow="-110" yWindow="-110" windowWidth="19420" windowHeight="10300" firstSheet="2" activeTab="5" xr2:uid="{00000000-000D-0000-FFFF-FFFF00000000}"/>
  </bookViews>
  <sheets>
    <sheet name="notes" sheetId="1" r:id="rId1"/>
    <sheet name="equations and variables" sheetId="2" r:id="rId2"/>
    <sheet name="param from literature" sheetId="3" r:id="rId3"/>
    <sheet name="data" sheetId="4" r:id="rId4"/>
    <sheet name="data for paper" sheetId="6" r:id="rId5"/>
    <sheet name="medium composition" sheetId="5" r:id="rId6"/>
  </sheets>
  <definedNames>
    <definedName name="anna_44b_1" localSheetId="3">data!$Z$90:$AA$113</definedName>
    <definedName name="anna_A10_501" localSheetId="3">data!$AB$90:$AC$115</definedName>
    <definedName name="takache_batch_701" localSheetId="3">data!$Z$71:$AA$88</definedName>
    <definedName name="takache_batch_702" localSheetId="3">data!$AB$71:$AC$83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5" l="1"/>
  <c r="C56" i="5"/>
  <c r="C55" i="5"/>
  <c r="C54" i="5"/>
  <c r="C53" i="5"/>
  <c r="C52" i="5"/>
  <c r="C51" i="5"/>
  <c r="C50" i="5"/>
  <c r="Z117" i="4" l="1"/>
  <c r="Z118" i="4"/>
  <c r="Z119" i="4"/>
  <c r="Z120" i="4"/>
  <c r="Z121" i="4"/>
  <c r="Z122" i="4"/>
  <c r="Z123" i="4"/>
  <c r="Z124" i="4"/>
  <c r="AA130" i="4"/>
  <c r="AA131" i="4"/>
  <c r="AA132" i="4"/>
  <c r="AA133" i="4"/>
  <c r="AA134" i="4"/>
  <c r="Z130" i="4"/>
  <c r="Z131" i="4"/>
  <c r="Z132" i="4"/>
  <c r="Z133" i="4"/>
  <c r="Z134" i="4"/>
  <c r="Z129" i="4"/>
  <c r="AC120" i="4"/>
  <c r="AD119" i="4"/>
  <c r="AD124" i="4"/>
  <c r="AD123" i="4"/>
  <c r="AD122" i="4"/>
  <c r="AD121" i="4"/>
  <c r="AD120" i="4"/>
  <c r="AD118" i="4"/>
  <c r="AD117" i="4"/>
  <c r="AB125" i="4"/>
  <c r="AB126" i="4"/>
  <c r="AB127" i="4"/>
  <c r="AB124" i="4"/>
  <c r="AB123" i="4"/>
  <c r="AB122" i="4"/>
  <c r="AB121" i="4"/>
  <c r="AB120" i="4"/>
  <c r="AB119" i="4"/>
  <c r="AB118" i="4"/>
  <c r="AB117" i="4"/>
  <c r="AA117" i="4"/>
  <c r="AC117" i="4"/>
  <c r="AE117" i="4"/>
  <c r="AA118" i="4"/>
  <c r="AC118" i="4"/>
  <c r="AE118" i="4"/>
  <c r="AA119" i="4"/>
  <c r="AC119" i="4"/>
  <c r="AE119" i="4"/>
  <c r="AA120" i="4"/>
  <c r="AE120" i="4"/>
  <c r="AA121" i="4"/>
  <c r="AC121" i="4"/>
  <c r="AE121" i="4"/>
  <c r="AA122" i="4"/>
  <c r="AC122" i="4"/>
  <c r="AE122" i="4"/>
  <c r="AA123" i="4"/>
  <c r="AC123" i="4"/>
  <c r="AE123" i="4"/>
  <c r="AA124" i="4"/>
  <c r="AC124" i="4"/>
  <c r="AE124" i="4"/>
  <c r="AC125" i="4"/>
  <c r="AC126" i="4"/>
  <c r="AC127" i="4"/>
  <c r="G13" i="5" l="1"/>
  <c r="G12" i="5"/>
  <c r="G11" i="5"/>
  <c r="G10" i="5"/>
  <c r="G9" i="5"/>
  <c r="H9" i="5" s="1"/>
  <c r="J9" i="5" s="1"/>
  <c r="D9" i="5"/>
  <c r="D10" i="5"/>
  <c r="G15" i="5" s="1"/>
  <c r="D11" i="5"/>
  <c r="D12" i="5"/>
  <c r="D13" i="5"/>
  <c r="G18" i="5" s="1"/>
  <c r="D14" i="5"/>
  <c r="G14" i="5" s="1"/>
  <c r="H14" i="5" s="1"/>
  <c r="J14" i="5" s="1"/>
  <c r="D15" i="5"/>
  <c r="G16" i="5" s="1"/>
  <c r="H16" i="5" s="1"/>
  <c r="J16" i="5" s="1"/>
  <c r="D16" i="5"/>
  <c r="G17" i="5" s="1"/>
  <c r="H12" i="5"/>
  <c r="J12" i="5" s="1"/>
  <c r="H11" i="5"/>
  <c r="J11" i="5" s="1"/>
  <c r="C9" i="5"/>
  <c r="C8" i="5"/>
  <c r="D8" i="5" s="1"/>
  <c r="C7" i="5"/>
  <c r="D7" i="5" s="1"/>
  <c r="G7" i="5" s="1"/>
  <c r="C6" i="5"/>
  <c r="D6" i="5" s="1"/>
  <c r="G6" i="5" s="1"/>
  <c r="H6" i="5" s="1"/>
  <c r="J6" i="5" s="1"/>
  <c r="L56" i="4"/>
  <c r="I56" i="4"/>
  <c r="M56" i="4"/>
  <c r="E27" i="5"/>
  <c r="E28" i="5"/>
  <c r="E29" i="5"/>
  <c r="E30" i="5"/>
  <c r="E31" i="5"/>
  <c r="E32" i="5"/>
  <c r="E33" i="5"/>
  <c r="E34" i="5"/>
  <c r="E35" i="5"/>
  <c r="E36" i="5"/>
  <c r="E23" i="5"/>
  <c r="L36" i="4"/>
  <c r="K36" i="4"/>
  <c r="L24" i="4"/>
  <c r="K24" i="4"/>
  <c r="L6" i="4"/>
  <c r="K6" i="4"/>
  <c r="H13" i="5" l="1"/>
  <c r="J13" i="5" s="1"/>
  <c r="G8" i="5"/>
  <c r="H8" i="5" s="1"/>
  <c r="J8" i="5" s="1"/>
  <c r="H18" i="5"/>
  <c r="J18" i="5" s="1"/>
  <c r="H17" i="5"/>
  <c r="J17" i="5" s="1"/>
  <c r="H15" i="5"/>
  <c r="J15" i="5" s="1"/>
  <c r="H7" i="5"/>
  <c r="J7" i="5" s="1"/>
  <c r="H10" i="5"/>
  <c r="J10"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anna_44b12" type="6" refreshedVersion="4" background="1" saveData="1">
    <textPr codePage="850" sourceFile="D:\Results\model info marcel\batch\Dis Anna\anna_44b.csv" comma="1">
      <textFields count="2">
        <textField/>
        <textField/>
      </textFields>
    </textPr>
  </connection>
  <connection id="2" xr16:uid="{00000000-0015-0000-FFFF-FFFF03000000}" name="anna_A10_50012" type="6" refreshedVersion="4" background="1" saveData="1">
    <textPr codePage="850" sourceFile="D:\Results\model info marcel\batch\Dis Anna\anna_A10_500.csv" comma="1">
      <textFields count="2">
        <textField/>
        <textField/>
      </textFields>
    </textPr>
  </connection>
  <connection id="3" xr16:uid="{00000000-0015-0000-FFFF-FFFF05000000}" name="takache_batch_11012" type="6" refreshedVersion="4" background="1" saveData="1">
    <textPr codePage="850" sourceFile="D:\Results\model info marcel\batch\takache\takache_batch_110.csv" comma="1">
      <textFields count="2">
        <textField/>
        <textField/>
      </textFields>
    </textPr>
  </connection>
  <connection id="4" xr16:uid="{00000000-0015-0000-FFFF-FFFF07000000}" name="takache_batch_70012" type="6" refreshedVersion="4" background="1" saveData="1">
    <textPr codePage="850" sourceFile="D:\Results\model info marcel\batch\takache\takache_batch_700.csv" comma="1">
      <textFields count="2">
        <textField/>
        <textField/>
      </textFields>
    </textPr>
  </connection>
</connections>
</file>

<file path=xl/sharedStrings.xml><?xml version="1.0" encoding="utf-8"?>
<sst xmlns="http://schemas.openxmlformats.org/spreadsheetml/2006/main" count="474" uniqueCount="343">
  <si>
    <t>chemo -&gt; energy from oxidation of organic or inorganic substances.</t>
  </si>
  <si>
    <t>chemohetero -&gt; from organic substances.</t>
  </si>
  <si>
    <t>Predicting microalgae growth, Blanken W, 2016</t>
  </si>
  <si>
    <t>Pirt -&gt;  chemoheterotrophic growth model. The sugar produced from the photosynthesis is used to build biomass.</t>
  </si>
  <si>
    <t>L</t>
  </si>
  <si>
    <t>m</t>
  </si>
  <si>
    <t>n</t>
  </si>
  <si>
    <t>z</t>
  </si>
  <si>
    <t>Assumptions</t>
  </si>
  <si>
    <t>Labert beer -&gt; light attenuation model</t>
  </si>
  <si>
    <t>Model</t>
  </si>
  <si>
    <t>Jassby and Platt</t>
  </si>
  <si>
    <t>Pirt</t>
  </si>
  <si>
    <t>all energy generated is used for CO2 utilization</t>
  </si>
  <si>
    <t>NOTES</t>
  </si>
  <si>
    <t>Equation</t>
  </si>
  <si>
    <t>qs</t>
  </si>
  <si>
    <t>qsm</t>
  </si>
  <si>
    <t>Iph</t>
  </si>
  <si>
    <t>max specific sugar production rate</t>
  </si>
  <si>
    <t>qs = qsm * tanh(alfa*Iph/qsm)</t>
  </si>
  <si>
    <t xml:space="preserve">alfa = Ysph * ax </t>
  </si>
  <si>
    <t>Iph = qph / ax</t>
  </si>
  <si>
    <t>ax</t>
  </si>
  <si>
    <t>alfa</t>
  </si>
  <si>
    <t>Ysph</t>
  </si>
  <si>
    <t>qph</t>
  </si>
  <si>
    <t>sugar yield on photons</t>
  </si>
  <si>
    <t>Jassby and Platt -&gt; photoautotrophic sugar production, obrained coupling photosynthesis and Calin-Benson cycle</t>
  </si>
  <si>
    <t>specific light absorption coefficient</t>
  </si>
  <si>
    <t>specific photon absorption rate</t>
  </si>
  <si>
    <t>specific sugar production rate</t>
  </si>
  <si>
    <t>u.m.</t>
  </si>
  <si>
    <t>-</t>
  </si>
  <si>
    <t>mol/(m^2 * s)</t>
  </si>
  <si>
    <t>incident light intensity</t>
  </si>
  <si>
    <t>mu_pre = (qs - ms)*Yxs</t>
  </si>
  <si>
    <t>mu_pre</t>
  </si>
  <si>
    <t>Yxs</t>
  </si>
  <si>
    <t>biomass yield on sugar</t>
  </si>
  <si>
    <t>ms</t>
  </si>
  <si>
    <t>specific sugar consumption rate for manteinance</t>
  </si>
  <si>
    <t>specific growth rate - predicted</t>
  </si>
  <si>
    <t>1/mol/s</t>
  </si>
  <si>
    <t>qph(z) = [Iph(z)-Iph(z+dz)] / (Cx*dz)</t>
  </si>
  <si>
    <t>spatial coordinate</t>
  </si>
  <si>
    <t>Cx</t>
  </si>
  <si>
    <t>biomass concentration</t>
  </si>
  <si>
    <t>flat plate PBR</t>
  </si>
  <si>
    <t>wavelength</t>
  </si>
  <si>
    <t>1/nm</t>
  </si>
  <si>
    <t>Iph_lamb</t>
  </si>
  <si>
    <t>mol/(m^2 * s * nm)</t>
  </si>
  <si>
    <t>Iph(z) = sum [Iph_lamb(0) * exp( - a_xlamb * Cx * z) * dlamb]</t>
  </si>
  <si>
    <t>m^2 / mol</t>
  </si>
  <si>
    <t>mol/m^3</t>
  </si>
  <si>
    <t>slope = Ysph * ax (see below)</t>
  </si>
  <si>
    <t>specific light absorption coefficient per wavelength</t>
  </si>
  <si>
    <t>incident light intensity per wavelenght</t>
  </si>
  <si>
    <t>Variables in the equations</t>
  </si>
  <si>
    <t>Other variables</t>
  </si>
  <si>
    <t>Mx</t>
  </si>
  <si>
    <t>molar mass of microalgae</t>
  </si>
  <si>
    <t>reactor depth</t>
  </si>
  <si>
    <t>g/mol</t>
  </si>
  <si>
    <t>lamb</t>
  </si>
  <si>
    <t>a_xlamb</t>
  </si>
  <si>
    <t>mu_m</t>
  </si>
  <si>
    <t>max specific growth rate</t>
  </si>
  <si>
    <t>visible light spectrum from 400 to 700 nm</t>
  </si>
  <si>
    <t>Empty Cell</t>
  </si>
  <si>
    <t>used</t>
  </si>
  <si>
    <t>average</t>
  </si>
  <si>
    <t>high</t>
  </si>
  <si>
    <t>low</t>
  </si>
  <si>
    <t>Table 1, Chlorella sorokiniana</t>
  </si>
  <si>
    <t>μm</t>
  </si>
  <si>
    <r>
      <t>Yx</t>
    </r>
    <r>
      <rPr>
        <b/>
        <sz val="12"/>
        <color rgb="FF1F1F1F"/>
        <rFont val="Calibri"/>
        <family val="2"/>
        <scheme val="minor"/>
      </rPr>
      <t>/</t>
    </r>
    <r>
      <rPr>
        <b/>
        <i/>
        <sz val="12"/>
        <color rgb="FF1F1F1F"/>
        <rFont val="Calibri"/>
        <family val="2"/>
        <scheme val="minor"/>
      </rPr>
      <t>s</t>
    </r>
  </si>
  <si>
    <r>
      <t>qs</t>
    </r>
    <r>
      <rPr>
        <b/>
        <sz val="12"/>
        <color rgb="FF1F1F1F"/>
        <rFont val="Calibri"/>
        <family val="2"/>
        <scheme val="minor"/>
      </rPr>
      <t>,</t>
    </r>
    <r>
      <rPr>
        <b/>
        <i/>
        <sz val="12"/>
        <color rgb="FF1F1F1F"/>
        <rFont val="Calibri"/>
        <family val="2"/>
        <scheme val="minor"/>
      </rPr>
      <t>m</t>
    </r>
  </si>
  <si>
    <r>
      <t>Ys</t>
    </r>
    <r>
      <rPr>
        <b/>
        <sz val="12"/>
        <color rgb="FF1F1F1F"/>
        <rFont val="Calibri"/>
        <family val="2"/>
        <scheme val="minor"/>
      </rPr>
      <t>/</t>
    </r>
    <r>
      <rPr>
        <b/>
        <i/>
        <sz val="12"/>
        <color rgb="FF1F1F1F"/>
        <rFont val="Calibri"/>
        <family val="2"/>
        <scheme val="minor"/>
      </rPr>
      <t>ph</t>
    </r>
  </si>
  <si>
    <t>NH4</t>
  </si>
  <si>
    <t>NO3</t>
  </si>
  <si>
    <t>h− 1</t>
  </si>
  <si>
    <t>g cmol-x− 1</t>
  </si>
  <si>
    <t>cmol-s (cmol-x s)− 1</t>
  </si>
  <si>
    <t>m2 cmol-x− 1</t>
  </si>
  <si>
    <t>cmol-x cmol-s− 1</t>
  </si>
  <si>
    <t>cmol-x (cmol-s s)− 1</t>
  </si>
  <si>
    <t>cmol-s mol-ph− 1</t>
  </si>
  <si>
    <t>ax:</t>
  </si>
  <si>
    <t>https://doi.org/10.1007/s10126-010-9258-2</t>
  </si>
  <si>
    <t>enirched artificial saltwater</t>
  </si>
  <si>
    <t>medium:</t>
  </si>
  <si>
    <t>light:</t>
  </si>
  <si>
    <t>mostly green, blue and almost no red (PPFD = 930 umol/m^2/s)</t>
  </si>
  <si>
    <t>Ysph:</t>
  </si>
  <si>
    <t>various papers</t>
  </si>
  <si>
    <t>species:</t>
  </si>
  <si>
    <t>no Chlorella sorokiniana but other Chlorella species and algae species</t>
  </si>
  <si>
    <t>ms:</t>
  </si>
  <si>
    <t>conditions:</t>
  </si>
  <si>
    <t>mainly derived from dark oxygen consumption experiments</t>
  </si>
  <si>
    <t>Yxs:</t>
  </si>
  <si>
    <t>glucose</t>
  </si>
  <si>
    <t>substrate:</t>
  </si>
  <si>
    <t>PBR type:</t>
  </si>
  <si>
    <t>flat plate, microplates, airlift loop</t>
  </si>
  <si>
    <t>light (PPFD):</t>
  </si>
  <si>
    <t>umol/m^2/s</t>
  </si>
  <si>
    <t>molar mass of the microalgae</t>
  </si>
  <si>
    <t>two papers</t>
  </si>
  <si>
    <t>N source:</t>
  </si>
  <si>
    <t>NO3, NH4, urea</t>
  </si>
  <si>
    <t>Blanken W</t>
  </si>
  <si>
    <t>all the above</t>
  </si>
  <si>
    <t>Equations from model:</t>
  </si>
  <si>
    <t>Lambert Beer</t>
  </si>
  <si>
    <t>Equations</t>
  </si>
  <si>
    <t>Not specified parameters</t>
  </si>
  <si>
    <t>photolimited regime</t>
  </si>
  <si>
    <t>biomass concentration Cx</t>
  </si>
  <si>
    <t>incident light intensity Iph</t>
  </si>
  <si>
    <t>reactor depth L</t>
  </si>
  <si>
    <t>specific growth rate mu</t>
  </si>
  <si>
    <r>
      <rPr>
        <sz val="11"/>
        <color theme="5" tint="-0.249977111117893"/>
        <rFont val="Calibri"/>
        <family val="2"/>
        <scheme val="minor"/>
      </rPr>
      <t>Iph</t>
    </r>
    <r>
      <rPr>
        <sz val="11"/>
        <color theme="1"/>
        <rFont val="Calibri"/>
        <family val="2"/>
        <scheme val="minor"/>
      </rPr>
      <t>(z, t) = sum [Iph_lamb(0) * exp( - a_xlamb * Cx(t) * z) * dlamb]</t>
    </r>
  </si>
  <si>
    <r>
      <rPr>
        <sz val="11"/>
        <color theme="7" tint="-0.249977111117893"/>
        <rFont val="Calibri"/>
        <family val="2"/>
        <scheme val="minor"/>
      </rPr>
      <t>qph</t>
    </r>
    <r>
      <rPr>
        <sz val="11"/>
        <color theme="1"/>
        <rFont val="Calibri"/>
        <family val="2"/>
        <scheme val="minor"/>
      </rPr>
      <t>(z, t) = [</t>
    </r>
    <r>
      <rPr>
        <sz val="11"/>
        <color theme="5" tint="-0.249977111117893"/>
        <rFont val="Calibri"/>
        <family val="2"/>
        <scheme val="minor"/>
      </rPr>
      <t>Iph</t>
    </r>
    <r>
      <rPr>
        <sz val="11"/>
        <color theme="1"/>
        <rFont val="Calibri"/>
        <family val="2"/>
        <scheme val="minor"/>
      </rPr>
      <t>(z, t)-</t>
    </r>
    <r>
      <rPr>
        <sz val="11"/>
        <color theme="5" tint="-0.249977111117893"/>
        <rFont val="Calibri"/>
        <family val="2"/>
        <scheme val="minor"/>
      </rPr>
      <t>Iph</t>
    </r>
    <r>
      <rPr>
        <sz val="11"/>
        <color theme="1"/>
        <rFont val="Calibri"/>
        <family val="2"/>
        <scheme val="minor"/>
      </rPr>
      <t>(z+dz, t)] / (Cx(t)*dz)</t>
    </r>
  </si>
  <si>
    <r>
      <rPr>
        <sz val="11"/>
        <color rgb="FF00B0F0"/>
        <rFont val="Calibri"/>
        <family val="2"/>
        <scheme val="minor"/>
      </rPr>
      <t>qs</t>
    </r>
    <r>
      <rPr>
        <sz val="11"/>
        <color theme="1"/>
        <rFont val="Calibri"/>
        <family val="2"/>
        <scheme val="minor"/>
      </rPr>
      <t>(z, t) = qsm * tanh(Ysph*</t>
    </r>
    <r>
      <rPr>
        <sz val="11"/>
        <color theme="7" tint="-0.249977111117893"/>
        <rFont val="Calibri"/>
        <family val="2"/>
        <scheme val="minor"/>
      </rPr>
      <t>qph</t>
    </r>
    <r>
      <rPr>
        <sz val="11"/>
        <color theme="1"/>
        <rFont val="Calibri"/>
        <family val="2"/>
        <scheme val="minor"/>
      </rPr>
      <t>(z, t)/qsm)</t>
    </r>
  </si>
  <si>
    <r>
      <rPr>
        <sz val="11"/>
        <color rgb="FF00B0F0"/>
        <rFont val="Calibri"/>
        <family val="2"/>
        <scheme val="minor"/>
      </rPr>
      <t>qs</t>
    </r>
    <r>
      <rPr>
        <sz val="11"/>
        <color theme="1"/>
        <rFont val="Calibri"/>
        <family val="2"/>
        <scheme val="minor"/>
      </rPr>
      <t>(t) = integral from 0 to L [</t>
    </r>
    <r>
      <rPr>
        <sz val="11"/>
        <color rgb="FF00B0F0"/>
        <rFont val="Calibri"/>
        <family val="2"/>
        <scheme val="minor"/>
      </rPr>
      <t>qs</t>
    </r>
    <r>
      <rPr>
        <sz val="11"/>
        <color theme="1"/>
        <rFont val="Calibri"/>
        <family val="2"/>
        <scheme val="minor"/>
      </rPr>
      <t>(z, t) * dz]</t>
    </r>
  </si>
  <si>
    <r>
      <rPr>
        <sz val="11"/>
        <color rgb="FF0070C0"/>
        <rFont val="Calibri"/>
        <family val="2"/>
        <scheme val="minor"/>
      </rPr>
      <t>mu_pre</t>
    </r>
    <r>
      <rPr>
        <sz val="11"/>
        <color theme="1"/>
        <rFont val="Calibri"/>
        <family val="2"/>
        <scheme val="minor"/>
      </rPr>
      <t>(t) = (</t>
    </r>
    <r>
      <rPr>
        <sz val="11"/>
        <color rgb="FF00B0F0"/>
        <rFont val="Calibri"/>
        <family val="2"/>
        <scheme val="minor"/>
      </rPr>
      <t>qs</t>
    </r>
    <r>
      <rPr>
        <sz val="11"/>
        <color theme="1"/>
        <rFont val="Calibri"/>
        <family val="2"/>
        <scheme val="minor"/>
      </rPr>
      <t>(t) - ms)*Yxs</t>
    </r>
  </si>
  <si>
    <r>
      <t xml:space="preserve">dCx(t)/dt = </t>
    </r>
    <r>
      <rPr>
        <sz val="11"/>
        <color rgb="FF0070C0"/>
        <rFont val="Calibri"/>
        <family val="2"/>
        <scheme val="minor"/>
      </rPr>
      <t>mu_pre</t>
    </r>
    <r>
      <rPr>
        <sz val="11"/>
        <color theme="1"/>
        <rFont val="Calibri"/>
        <family val="2"/>
        <scheme val="minor"/>
      </rPr>
      <t>(t) * Cx(t)</t>
    </r>
  </si>
  <si>
    <t>batch model</t>
  </si>
  <si>
    <t>Model (batch)</t>
  </si>
  <si>
    <t>Validation details (table 2)</t>
  </si>
  <si>
    <t xml:space="preserve">ref </t>
  </si>
  <si>
    <t>pH</t>
  </si>
  <si>
    <t>bulk fluid properties</t>
  </si>
  <si>
    <t>the gas flow rate (L/min)</t>
  </si>
  <si>
    <t xml:space="preserve">the gas superficial velocity </t>
  </si>
  <si>
    <t>CO2%</t>
  </si>
  <si>
    <t>volume ratio of microalgae
to media</t>
  </si>
  <si>
    <t>maximal specific growth rate (day-1)</t>
  </si>
  <si>
    <t>CO2 fixation rate (gCO2/L/day)</t>
  </si>
  <si>
    <t>note</t>
  </si>
  <si>
    <t>Optimum condition</t>
  </si>
  <si>
    <t>Nitrogen</t>
  </si>
  <si>
    <t>Phosphorous</t>
  </si>
  <si>
    <t>density</t>
  </si>
  <si>
    <t>viscosity</t>
  </si>
  <si>
    <t>temperature (°C)</t>
  </si>
  <si>
    <t>Photosynthetic efficiency of Chlorella sorokiniana in a turulently mixed short light path photobioreactor, Anna M. J. Kliphuis, https://doi.org/10.1002/btpr.379</t>
  </si>
  <si>
    <t>surface tension</t>
  </si>
  <si>
    <t>Time (h)</t>
  </si>
  <si>
    <t>Cx (g/L)</t>
  </si>
  <si>
    <t>70 rpm</t>
  </si>
  <si>
    <t>110 rpm</t>
  </si>
  <si>
    <t>140 rpm</t>
  </si>
  <si>
    <t>M-8a</t>
  </si>
  <si>
    <t>M-8a medium</t>
  </si>
  <si>
    <t>Compound</t>
  </si>
  <si>
    <r>
      <t>Concentration (μmol L</t>
    </r>
    <r>
      <rPr>
        <sz val="8"/>
        <color rgb="FF000000"/>
        <rFont val="Arial"/>
        <family val="2"/>
      </rPr>
      <t>−1</t>
    </r>
    <r>
      <rPr>
        <sz val="12"/>
        <color rgb="FF000000"/>
        <rFont val="Arial"/>
        <family val="2"/>
      </rPr>
      <t>)</t>
    </r>
  </si>
  <si>
    <r>
      <t>KNO</t>
    </r>
    <r>
      <rPr>
        <sz val="7"/>
        <color rgb="FF000000"/>
        <rFont val="Arial"/>
        <family val="2"/>
      </rPr>
      <t>3</t>
    </r>
  </si>
  <si>
    <r>
      <t>KH</t>
    </r>
    <r>
      <rPr>
        <sz val="7"/>
        <color rgb="FF000000"/>
        <rFont val="Arial"/>
        <family val="2"/>
      </rPr>
      <t>2</t>
    </r>
    <r>
      <rPr>
        <sz val="9"/>
        <color rgb="FF000000"/>
        <rFont val="Arial"/>
        <family val="2"/>
      </rPr>
      <t>PO</t>
    </r>
    <r>
      <rPr>
        <sz val="7"/>
        <color rgb="FF000000"/>
        <rFont val="Arial"/>
        <family val="2"/>
      </rPr>
      <t>4</t>
    </r>
  </si>
  <si>
    <r>
      <t>Na</t>
    </r>
    <r>
      <rPr>
        <sz val="7"/>
        <color rgb="FF000000"/>
        <rFont val="Arial"/>
        <family val="2"/>
      </rPr>
      <t>2</t>
    </r>
    <r>
      <rPr>
        <sz val="9"/>
        <color rgb="FF000000"/>
        <rFont val="Arial"/>
        <family val="2"/>
      </rPr>
      <t>HPO</t>
    </r>
    <r>
      <rPr>
        <sz val="7"/>
        <color rgb="FF000000"/>
        <rFont val="Arial"/>
        <family val="2"/>
      </rPr>
      <t>4</t>
    </r>
    <r>
      <rPr>
        <sz val="9"/>
        <color rgb="FF000000"/>
        <rFont val="Arial"/>
        <family val="2"/>
      </rPr>
      <t> · 2 H</t>
    </r>
    <r>
      <rPr>
        <sz val="7"/>
        <color rgb="FF000000"/>
        <rFont val="Arial"/>
        <family val="2"/>
      </rPr>
      <t>2</t>
    </r>
    <r>
      <rPr>
        <sz val="9"/>
        <color rgb="FF000000"/>
        <rFont val="Arial"/>
        <family val="2"/>
      </rPr>
      <t>O</t>
    </r>
  </si>
  <si>
    <r>
      <t>MgSO</t>
    </r>
    <r>
      <rPr>
        <sz val="7"/>
        <color rgb="FF000000"/>
        <rFont val="Arial"/>
        <family val="2"/>
      </rPr>
      <t>4</t>
    </r>
    <r>
      <rPr>
        <sz val="9"/>
        <color rgb="FF000000"/>
        <rFont val="Arial"/>
        <family val="2"/>
      </rPr>
      <t> · 7 H</t>
    </r>
    <r>
      <rPr>
        <sz val="7"/>
        <color rgb="FF000000"/>
        <rFont val="Arial"/>
        <family val="2"/>
      </rPr>
      <t>2</t>
    </r>
    <r>
      <rPr>
        <sz val="9"/>
        <color rgb="FF000000"/>
        <rFont val="Arial"/>
        <family val="2"/>
      </rPr>
      <t>O</t>
    </r>
  </si>
  <si>
    <r>
      <t>CaCl</t>
    </r>
    <r>
      <rPr>
        <sz val="7"/>
        <color rgb="FF000000"/>
        <rFont val="Arial"/>
        <family val="2"/>
      </rPr>
      <t>2</t>
    </r>
    <r>
      <rPr>
        <sz val="9"/>
        <color rgb="FF000000"/>
        <rFont val="Arial"/>
        <family val="2"/>
      </rPr>
      <t> · 2 H</t>
    </r>
    <r>
      <rPr>
        <sz val="7"/>
        <color rgb="FF000000"/>
        <rFont val="Arial"/>
        <family val="2"/>
      </rPr>
      <t>2</t>
    </r>
    <r>
      <rPr>
        <sz val="9"/>
        <color rgb="FF000000"/>
        <rFont val="Arial"/>
        <family val="2"/>
      </rPr>
      <t>O</t>
    </r>
  </si>
  <si>
    <t>EDTA ferric sodium salt</t>
  </si>
  <si>
    <r>
      <t>Na</t>
    </r>
    <r>
      <rPr>
        <sz val="7"/>
        <color rgb="FF000000"/>
        <rFont val="Arial"/>
        <family val="2"/>
      </rPr>
      <t>2</t>
    </r>
    <r>
      <rPr>
        <sz val="9"/>
        <color rgb="FF000000"/>
        <rFont val="Arial"/>
        <family val="2"/>
      </rPr>
      <t>EDTA · 2 H</t>
    </r>
    <r>
      <rPr>
        <sz val="7"/>
        <color rgb="FF000000"/>
        <rFont val="Arial"/>
        <family val="2"/>
      </rPr>
      <t>2</t>
    </r>
    <r>
      <rPr>
        <sz val="9"/>
        <color rgb="FF000000"/>
        <rFont val="Arial"/>
        <family val="2"/>
      </rPr>
      <t>O</t>
    </r>
  </si>
  <si>
    <r>
      <t>H</t>
    </r>
    <r>
      <rPr>
        <sz val="7"/>
        <color rgb="FF000000"/>
        <rFont val="Arial"/>
        <family val="2"/>
      </rPr>
      <t>3</t>
    </r>
    <r>
      <rPr>
        <sz val="9"/>
        <color rgb="FF000000"/>
        <rFont val="Arial"/>
        <family val="2"/>
      </rPr>
      <t>BO</t>
    </r>
    <r>
      <rPr>
        <sz val="7"/>
        <color rgb="FF000000"/>
        <rFont val="Arial"/>
        <family val="2"/>
      </rPr>
      <t>3</t>
    </r>
  </si>
  <si>
    <r>
      <t>MnCl</t>
    </r>
    <r>
      <rPr>
        <sz val="7"/>
        <color rgb="FF000000"/>
        <rFont val="Arial"/>
        <family val="2"/>
      </rPr>
      <t>2</t>
    </r>
    <r>
      <rPr>
        <sz val="9"/>
        <color rgb="FF000000"/>
        <rFont val="Arial"/>
        <family val="2"/>
      </rPr>
      <t> · 4 H</t>
    </r>
    <r>
      <rPr>
        <sz val="7"/>
        <color rgb="FF000000"/>
        <rFont val="Arial"/>
        <family val="2"/>
      </rPr>
      <t>2</t>
    </r>
    <r>
      <rPr>
        <sz val="9"/>
        <color rgb="FF000000"/>
        <rFont val="Arial"/>
        <family val="2"/>
      </rPr>
      <t>O</t>
    </r>
  </si>
  <si>
    <r>
      <t>ZnSO</t>
    </r>
    <r>
      <rPr>
        <sz val="7"/>
        <color rgb="FF000000"/>
        <rFont val="Arial"/>
        <family val="2"/>
      </rPr>
      <t>4</t>
    </r>
    <r>
      <rPr>
        <sz val="9"/>
        <color rgb="FF000000"/>
        <rFont val="Arial"/>
        <family val="2"/>
      </rPr>
      <t> · 7 H</t>
    </r>
    <r>
      <rPr>
        <sz val="7"/>
        <color rgb="FF000000"/>
        <rFont val="Arial"/>
        <family val="2"/>
      </rPr>
      <t>2</t>
    </r>
    <r>
      <rPr>
        <sz val="9"/>
        <color rgb="FF000000"/>
        <rFont val="Arial"/>
        <family val="2"/>
      </rPr>
      <t>O</t>
    </r>
  </si>
  <si>
    <r>
      <t>CuSO</t>
    </r>
    <r>
      <rPr>
        <sz val="7"/>
        <color rgb="FF000000"/>
        <rFont val="Arial"/>
        <family val="2"/>
      </rPr>
      <t>4</t>
    </r>
    <r>
      <rPr>
        <sz val="9"/>
        <color rgb="FF000000"/>
        <rFont val="Arial"/>
        <family val="2"/>
      </rPr>
      <t> · 5 H2O</t>
    </r>
  </si>
  <si>
    <t>metabolism</t>
  </si>
  <si>
    <t>photoautotrophic</t>
  </si>
  <si>
    <t>light intensity (PPFD)</t>
  </si>
  <si>
    <t>light intensity (lux)</t>
  </si>
  <si>
    <t xml:space="preserve">the maximal productivity and photosynthetic efficiency for C. sorokiniana can be found at that biomass concentration where no significant dark zone can develop and that the influence of mixing-induced light/dark fluctuations is marginal. </t>
  </si>
  <si>
    <t xml:space="preserve">Mixing is provided by rotating an inner tube in the cylindrical cultivation vessel creating Taylor vortex flow. </t>
  </si>
  <si>
    <t>For short light-path PBR, when the micing is fast and the culture is dense, productivity is increased by increasing light intensity</t>
  </si>
  <si>
    <t>Reynolds</t>
  </si>
  <si>
    <t>day/night cycle</t>
  </si>
  <si>
    <t>16/8h</t>
  </si>
  <si>
    <t>medium composition (g/L)</t>
  </si>
  <si>
    <t>/</t>
  </si>
  <si>
    <t>urea</t>
  </si>
  <si>
    <t>PO4</t>
  </si>
  <si>
    <t>medium name</t>
  </si>
  <si>
    <r>
      <t>For the experiments in the photobioreactor, three times concentrated M-8a medium was used to be able to reach high cell densities. The concentration KNO</t>
    </r>
    <r>
      <rPr>
        <sz val="9"/>
        <color rgb="FF000000"/>
        <rFont val="Arial"/>
        <family val="2"/>
      </rPr>
      <t>3</t>
    </r>
    <r>
      <rPr>
        <sz val="12"/>
        <color rgb="FF000000"/>
        <rFont val="Arial"/>
        <family val="2"/>
      </rPr>
      <t> was decreased to 5 mmol L</t>
    </r>
    <r>
      <rPr>
        <sz val="9"/>
        <color rgb="FF000000"/>
        <rFont val="Arial"/>
        <family val="2"/>
      </rPr>
      <t>−1.</t>
    </r>
  </si>
  <si>
    <t>nitric acid 1.7 M is added to control the pH, serving also as a nitrogen source</t>
  </si>
  <si>
    <t>type of gas</t>
  </si>
  <si>
    <t>nitrogen enriched with CO2</t>
  </si>
  <si>
    <t>The OD is measured at 530 and 680 nm, using the media as a blank</t>
  </si>
  <si>
    <t>At 680 nm, the OD is determined by both scattering and light absorption by chlorophyll-a. The ratio between the OD680 and OD530 is therefore a relative measure of the amount of chlorophyll per cell22 and can be used as an indication of bleaching of cells due to photoinhibition. This ratio should stay above 1.0 for healthy cells.</t>
  </si>
  <si>
    <t>6660 for 70 rpm</t>
  </si>
  <si>
    <t>10466 for 110 rpm</t>
  </si>
  <si>
    <t>13320 for 140 rpm</t>
  </si>
  <si>
    <t>Light respiration in Chlorella sorokiniana, Anna M. J. Kliphius, https://doi.org/10.1007/s10811-010-9614-7</t>
  </si>
  <si>
    <t>Characterization of nutrient removal and microalgal biomass production on an industrial waste-stream by application of the deceleration-stat technique, Jon Van Wagenen, https://doi.org/10.1016/j.watres.2015.02.022</t>
  </si>
  <si>
    <t>Element</t>
  </si>
  <si>
    <r>
      <t>IC reactor effluent (mg L</t>
    </r>
    <r>
      <rPr>
        <b/>
        <sz val="8"/>
        <color rgb="FF1F1F1F"/>
        <rFont val="Georgia"/>
        <family val="1"/>
      </rPr>
      <t>−1</t>
    </r>
    <r>
      <rPr>
        <b/>
        <sz val="11"/>
        <color rgb="FF1F1F1F"/>
        <rFont val="Georgia"/>
        <family val="1"/>
      </rPr>
      <t>)</t>
    </r>
  </si>
  <si>
    <r>
      <t>M8a medium (mg L</t>
    </r>
    <r>
      <rPr>
        <b/>
        <sz val="8"/>
        <color rgb="FF1F1F1F"/>
        <rFont val="Georgia"/>
        <family val="1"/>
      </rPr>
      <t>−1</t>
    </r>
    <r>
      <rPr>
        <b/>
        <sz val="11"/>
        <color rgb="FF1F1F1F"/>
        <rFont val="Georgia"/>
        <family val="1"/>
      </rPr>
      <t>)</t>
    </r>
  </si>
  <si>
    <t>N</t>
  </si>
  <si>
    <t>P</t>
  </si>
  <si>
    <t>11–12</t>
  </si>
  <si>
    <t>K</t>
  </si>
  <si>
    <t>n.m.</t>
  </si>
  <si>
    <t>S</t>
  </si>
  <si>
    <t>≥1.2a</t>
  </si>
  <si>
    <t>Na</t>
  </si>
  <si>
    <t>Mg</t>
  </si>
  <si>
    <t>Cl</t>
  </si>
  <si>
    <t>Fe</t>
  </si>
  <si>
    <t>Mn</t>
  </si>
  <si>
    <t>Ca</t>
  </si>
  <si>
    <t>Zn</t>
  </si>
  <si>
    <t>Cu</t>
  </si>
  <si>
    <t>B</t>
  </si>
  <si>
    <t>VFA</t>
  </si>
  <si>
    <t>COD</t>
  </si>
  <si>
    <t>n. m.</t>
  </si>
  <si>
    <t> A correlation curve (not shown) found linear correlation between OD at 750 nm and DW (R2 &gt; 0.95).</t>
  </si>
  <si>
    <t>CO2 is used to control the pH</t>
  </si>
  <si>
    <t>12 mm light path</t>
  </si>
  <si>
    <t>for this reactor, the optimal T is 37-38 °C</t>
  </si>
  <si>
    <t>difference IC - M8</t>
  </si>
  <si>
    <t>IC leads to a mixotrophic metabolism.</t>
  </si>
  <si>
    <t>Data for wastewater (see sheet "medium composition", column IC effluent) are considered even if the composition of the media is very different and so the purpose of the microalgae employment</t>
  </si>
  <si>
    <t>wastewater</t>
  </si>
  <si>
    <t>mixotrophic</t>
  </si>
  <si>
    <t>Pond reactor with long light path</t>
  </si>
  <si>
    <t>light path = 250 mm</t>
  </si>
  <si>
    <t>light path (mm)</t>
  </si>
  <si>
    <t xml:space="preserve">carbon (VFA) </t>
  </si>
  <si>
    <t>the wastewater contains Volatile Fatty Acids</t>
  </si>
  <si>
    <t>element</t>
  </si>
  <si>
    <t>conc(mg/L)</t>
  </si>
  <si>
    <t>conc(g/L)</t>
  </si>
  <si>
    <t>conc(mol/L)</t>
  </si>
  <si>
    <t>Difference M8a medium Kliphuis - Wagenen</t>
  </si>
  <si>
    <t>light intensity is increased depending on the biomass concentration</t>
  </si>
  <si>
    <t>H. Takache, J. Pruvost, J.F. Cornet, Kinetic modeling of the photosynthetic growth
of Chlamydomonas reinhardtii in a photobioreactor, Biotechnol. Prog. 28 (2012)
681–692</t>
  </si>
  <si>
    <t>A.J.C. Jacobi, Optimierung der Lichtverteilung in Photobioreaktoren, der Fakultät für
Chemieingenieurwesen und Verfahrenstechnik Karlsruher Institut für Technologie,
Deutsche national bibliothek, 2013.</t>
  </si>
  <si>
    <t>Chlorella Sorokiniana, batch conditions</t>
  </si>
  <si>
    <t>Chlamydomonas reinhardtii, batch conditions (no graphs about this)</t>
  </si>
  <si>
    <t>A Time(h)</t>
  </si>
  <si>
    <t>A Cx (g/L)</t>
  </si>
  <si>
    <t>B Time (h)</t>
  </si>
  <si>
    <t>B Cx (g/L</t>
  </si>
  <si>
    <t>C Time (h)</t>
  </si>
  <si>
    <t>C Cx (g/L)</t>
  </si>
  <si>
    <t>D Time (h)</t>
  </si>
  <si>
    <t>D Cx (g/L)</t>
  </si>
  <si>
    <t>E Time(h)</t>
  </si>
  <si>
    <t>E Cx (g/L)</t>
  </si>
  <si>
    <t>F Time(h)</t>
  </si>
  <si>
    <t>F Cx (g/L)</t>
  </si>
  <si>
    <t>G Time(h)</t>
  </si>
  <si>
    <t>G Cx (g/L)</t>
  </si>
  <si>
    <t>Phaeodactylum tricornutum, batch conditions (no graphs about this) -&gt; data from Dale and John work</t>
  </si>
  <si>
    <t>A modelling workflow for quantification of photobioreactor performance, Wenjia Gu, https://doi.org/10.1016/j.cej.2023.147032</t>
  </si>
  <si>
    <t>E Time(d)</t>
  </si>
  <si>
    <t>E Cx (mg/L)</t>
  </si>
  <si>
    <t>F Time(d)</t>
  </si>
  <si>
    <t>F Cx (mg/L)</t>
  </si>
  <si>
    <t>G Time(d)</t>
  </si>
  <si>
    <t>G Cx (mg/L)</t>
  </si>
  <si>
    <t>Day</t>
  </si>
  <si>
    <t>G/l</t>
  </si>
  <si>
    <t>time(h)</t>
  </si>
  <si>
    <t>Alizerza's data, 15L</t>
  </si>
  <si>
    <t>Chlamydomonas reinhardtii</t>
  </si>
  <si>
    <t>short light path: light path = 10 mm</t>
  </si>
  <si>
    <t>different PPFD</t>
  </si>
  <si>
    <t>torus-shaped reactor that can be approximited as a flat panel</t>
  </si>
  <si>
    <t>1.5 L</t>
  </si>
  <si>
    <t>Loooooots of data :)))</t>
  </si>
  <si>
    <t>A: 110 μmolhν m−2 s−1</t>
  </si>
  <si>
    <t>B: 700 μmolhν m−2 s−1</t>
  </si>
  <si>
    <r>
      <t>medium (g L</t>
    </r>
    <r>
      <rPr>
        <b/>
        <sz val="8"/>
        <color rgb="FF1F1F1F"/>
        <rFont val="Georgia"/>
        <family val="1"/>
      </rPr>
      <t>−1</t>
    </r>
    <r>
      <rPr>
        <b/>
        <sz val="11"/>
        <color rgb="FF1F1F1F"/>
        <rFont val="Georgia"/>
        <family val="1"/>
      </rPr>
      <t>)</t>
    </r>
  </si>
  <si>
    <t>NH4Cl</t>
  </si>
  <si>
    <t>MgSO4·7H2O</t>
  </si>
  <si>
    <t xml:space="preserve">CaCl2·2H2O </t>
  </si>
  <si>
    <t>KH2PO4</t>
  </si>
  <si>
    <t>NaHCO3 </t>
  </si>
  <si>
    <t>ZnSO4. 7 H2O                         22 g               100 ml</t>
  </si>
  <si>
    <t>H3BO3                                     11.4 g             200 ml</t>
  </si>
  <si>
    <t>MnCl2. 4 H2O                          5.06 g             50 ml</t>
  </si>
  <si>
    <t>CoCl2. 6 H2O                          1.61 g              50 ml</t>
  </si>
  <si>
    <t>CuSO4.5H2O                           1.57 g              50 ml</t>
  </si>
  <si>
    <t>(NH4)6Mo7O24. 4 H2O         1.10 g              50 ml</t>
  </si>
  <si>
    <t>FeSO4. 7 H20                          4.99 g              50 ml</t>
  </si>
  <si>
    <t>EDTA disodium salt               50 g                250 ml H2O</t>
  </si>
  <si>
    <t>EDTA sodium salt</t>
  </si>
  <si>
    <t xml:space="preserve">ZnSO4. 7 H2O </t>
  </si>
  <si>
    <t>H3BO3    </t>
  </si>
  <si>
    <t>MnCl2. 4 H2O</t>
  </si>
  <si>
    <t>CoCl2. 6 H2O      </t>
  </si>
  <si>
    <t>CuSO4.5H2O</t>
  </si>
  <si>
    <t xml:space="preserve">(NH4)6Mo7O24. 4 H2O     </t>
  </si>
  <si>
    <t>FeSO4. 7 H20  </t>
  </si>
  <si>
    <t>https://www.chlamycollection.org/methods/media-recipes/hutners-trace-elements/</t>
  </si>
  <si>
    <t>hutner's trace elements 1mL</t>
  </si>
  <si>
    <t>C*V = C*V</t>
  </si>
  <si>
    <t>C2 = C1*V1/V2</t>
  </si>
  <si>
    <t>C2 (in 1.5 L) = 0.2g/mL * 1mL / 1.5L</t>
  </si>
  <si>
    <t>A, B</t>
  </si>
  <si>
    <t>pond M8 and pond wasteawter</t>
  </si>
  <si>
    <t>70, 110, 140 rpm</t>
  </si>
  <si>
    <t>flat panel</t>
  </si>
  <si>
    <t>500  μmolhν m−2 s−1</t>
  </si>
  <si>
    <t>(data from table 2 Blanken paper)</t>
  </si>
  <si>
    <t>short light path: light path = 20 mm</t>
  </si>
  <si>
    <t>Chlorella sorokiniana</t>
  </si>
  <si>
    <t>BG-11</t>
  </si>
  <si>
    <t>bubble column</t>
  </si>
  <si>
    <t>Phaeodactylum tricornutum</t>
  </si>
  <si>
    <t>long light path = radius of column = 95 mm</t>
  </si>
  <si>
    <t>56.7 L</t>
  </si>
  <si>
    <t>pond M8</t>
  </si>
  <si>
    <t>pond waste</t>
  </si>
  <si>
    <t>A</t>
  </si>
  <si>
    <t>C</t>
  </si>
  <si>
    <t>D</t>
  </si>
  <si>
    <t>E</t>
  </si>
  <si>
    <t>F</t>
  </si>
  <si>
    <t>G</t>
  </si>
  <si>
    <t>15 L</t>
  </si>
  <si>
    <t>Reference</t>
  </si>
  <si>
    <t>Microalga specie</t>
  </si>
  <si>
    <t>Experimental data</t>
  </si>
  <si>
    <t>Data from literature</t>
  </si>
  <si>
    <t>Data name</t>
  </si>
  <si>
    <t>Metabolism</t>
  </si>
  <si>
    <t>Configuration</t>
  </si>
  <si>
    <t>Data references - batch</t>
  </si>
  <si>
    <t>Rotating tubular reactor</t>
  </si>
  <si>
    <t>Laboratory scale pond reactor</t>
  </si>
  <si>
    <t xml:space="preserve">Torus-shaped reactor (flat panel) </t>
  </si>
  <si>
    <t>Flat panel</t>
  </si>
  <si>
    <t>Bubble column</t>
  </si>
  <si>
    <t>Notes</t>
  </si>
  <si>
    <r>
      <t xml:space="preserve">Supplementary file 3 from:
</t>
    </r>
    <r>
      <rPr>
        <i/>
        <sz val="11"/>
        <color theme="1"/>
        <rFont val="Calibri"/>
        <family val="2"/>
        <scheme val="minor"/>
      </rPr>
      <t>Blanken, W., Postma, P. R., de Winter, L., Wijffels, R. H., &amp; Janssen, M. (2016). Predicting microalgae growth. Algal Research, 14, 28–38. https://doi.org/10.1016/j.algal.2015.12.020</t>
    </r>
  </si>
  <si>
    <r>
      <t xml:space="preserve">Data table from:
</t>
    </r>
    <r>
      <rPr>
        <i/>
        <sz val="11"/>
        <color theme="1"/>
        <rFont val="Calibri"/>
        <family val="2"/>
        <scheme val="minor"/>
      </rPr>
      <t>W. Gu, E. Theau, A. W. Anderson, D. F. Fletcher, J. M. Kavanagh, and D. D. McClure, “A modelling workflow for quantification of photobioreactor performance,” Chemical Engineering Journal, vol. 477, Dec. 2023, doi: 10.1016/j.cej.2023.147032.</t>
    </r>
  </si>
  <si>
    <r>
      <t xml:space="preserve">Media concentration, pH, temperature and other features are only known for some datasets.
The datasets named "70 rpm" and "110 rpm" are made combining results from two different papers: one about the exponential growth phase and one about the respiration phase.
References:
</t>
    </r>
    <r>
      <rPr>
        <i/>
        <sz val="11"/>
        <color theme="1"/>
        <rFont val="Calibri"/>
        <family val="2"/>
        <scheme val="minor"/>
      </rPr>
      <t>Kliphuis AM, de Winter L, Vejrazka C, Martens DE, Janssen M, Wijffels RH. Photosynthetic efficiency of Chlorella sorokiniana in a turbulently mixed short light-path photobioreactor. Biotechnol Prog. 2010;26(3):687-696. doi:10.1002/btpr.379
Kliphuis, A.M.J., Janssen, M., van den End, E.J. et al. Light respiration in Chlorella sorokiniana . J Appl Phycol 23, 935–947 (2011). https://doi.org/10.1007/s10811-010-9614-7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</si>
</sst>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7" x14ac:knownFonts="1">
    <font>
      <sz val="11"/>
      <color theme="1"/>
      <name val="Calibri"/>
      <family val="2"/>
      <scheme val="minor"/>
    </font>
    <font>
      <b/>
      <sz val="11"/>
      <color theme="1"/>
      <name val="Calibri"/>
      <family val="2"/>
      <scheme val="minor"/>
    </font>
    <font>
      <sz val="13.5"/>
      <color theme="1"/>
      <name val="Calibri"/>
      <family val="2"/>
      <scheme val="minor"/>
    </font>
    <font>
      <i/>
      <sz val="11"/>
      <color theme="1"/>
      <name val="Calibri"/>
      <family val="2"/>
      <scheme val="minor"/>
    </font>
    <font>
      <b/>
      <sz val="16"/>
      <color theme="1"/>
      <name val="Calibri"/>
      <family val="2"/>
      <scheme val="minor"/>
    </font>
    <font>
      <sz val="12"/>
      <color rgb="FF1F1F1F"/>
      <name val="Calibri"/>
      <family val="2"/>
      <scheme val="minor"/>
    </font>
    <font>
      <b/>
      <sz val="12"/>
      <color rgb="FF1F1F1F"/>
      <name val="Calibri"/>
      <family val="2"/>
      <scheme val="minor"/>
    </font>
    <font>
      <b/>
      <i/>
      <sz val="12"/>
      <color rgb="FF1F1F1F"/>
      <name val="Calibri"/>
      <family val="2"/>
      <scheme val="minor"/>
    </font>
    <font>
      <i/>
      <sz val="12"/>
      <color rgb="FF1F1F1F"/>
      <name val="Calibri"/>
      <family val="2"/>
      <scheme val="minor"/>
    </font>
    <font>
      <sz val="12"/>
      <color rgb="FF222222"/>
      <name val="Arial"/>
      <family val="2"/>
    </font>
    <font>
      <sz val="11"/>
      <color theme="5" tint="-0.249977111117893"/>
      <name val="Calibri"/>
      <family val="2"/>
      <scheme val="minor"/>
    </font>
    <font>
      <sz val="11"/>
      <color theme="7" tint="-0.249977111117893"/>
      <name val="Calibri"/>
      <family val="2"/>
      <scheme val="minor"/>
    </font>
    <font>
      <sz val="11"/>
      <color rgb="FF00B0F0"/>
      <name val="Calibri"/>
      <family val="2"/>
      <scheme val="minor"/>
    </font>
    <font>
      <sz val="11"/>
      <color rgb="FF0070C0"/>
      <name val="Calibri"/>
      <family val="2"/>
      <scheme val="minor"/>
    </font>
    <font>
      <sz val="12"/>
      <color theme="1"/>
      <name val="Times New Roman"/>
      <family val="1"/>
    </font>
    <font>
      <sz val="12"/>
      <color rgb="FF000000"/>
      <name val="Arial"/>
      <family val="2"/>
    </font>
    <font>
      <sz val="8"/>
      <color rgb="FF000000"/>
      <name val="Arial"/>
      <family val="2"/>
    </font>
    <font>
      <sz val="9"/>
      <color rgb="FF000000"/>
      <name val="Arial"/>
      <family val="2"/>
    </font>
    <font>
      <sz val="7"/>
      <color rgb="FF000000"/>
      <name val="Arial"/>
      <family val="2"/>
    </font>
    <font>
      <sz val="11"/>
      <color rgb="FFFF0000"/>
      <name val="Calibri"/>
      <family val="2"/>
      <scheme val="minor"/>
    </font>
    <font>
      <u/>
      <sz val="11"/>
      <color theme="10"/>
      <name val="Calibri"/>
      <family val="2"/>
      <scheme val="minor"/>
    </font>
    <font>
      <sz val="11"/>
      <color rgb="FF1F1F1F"/>
      <name val="Calibri"/>
      <family val="2"/>
      <scheme val="minor"/>
    </font>
    <font>
      <b/>
      <sz val="11"/>
      <color rgb="FF1F1F1F"/>
      <name val="Georgia"/>
      <family val="1"/>
    </font>
    <font>
      <b/>
      <sz val="8"/>
      <color rgb="FF1F1F1F"/>
      <name val="Georgia"/>
      <family val="1"/>
    </font>
    <font>
      <sz val="11"/>
      <color rgb="FF1F1F1F"/>
      <name val="Georgia"/>
      <family val="1"/>
    </font>
    <font>
      <b/>
      <sz val="12"/>
      <color rgb="FF000000"/>
      <name val="Arial"/>
      <family val="2"/>
    </font>
    <font>
      <b/>
      <sz val="18"/>
      <color theme="1"/>
      <name val="Calibri"/>
      <family val="2"/>
      <scheme val="minor"/>
    </font>
  </fonts>
  <fills count="11">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EEEEEE"/>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50"/>
        <bgColor indexed="64"/>
      </patternFill>
    </fill>
  </fills>
  <borders count="22">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top/>
      <bottom style="medium">
        <color rgb="FF8E8E8E"/>
      </bottom>
      <diagonal/>
    </border>
    <border>
      <left/>
      <right/>
      <top style="medium">
        <color rgb="FF8E8E8E"/>
      </top>
      <bottom/>
      <diagonal/>
    </border>
    <border>
      <left/>
      <right/>
      <top/>
      <bottom style="medium">
        <color indexed="64"/>
      </bottom>
      <diagonal/>
    </border>
    <border>
      <left/>
      <right/>
      <top style="medium">
        <color indexed="64"/>
      </top>
      <bottom/>
      <diagonal/>
    </border>
    <border>
      <left style="medium">
        <color rgb="FF9E9E9E"/>
      </left>
      <right/>
      <top style="medium">
        <color rgb="FF9E9E9E"/>
      </top>
      <bottom/>
      <diagonal/>
    </border>
    <border>
      <left/>
      <right style="medium">
        <color rgb="FF9E9E9E"/>
      </right>
      <top style="medium">
        <color rgb="FF9E9E9E"/>
      </top>
      <bottom/>
      <diagonal/>
    </border>
    <border>
      <left style="medium">
        <color rgb="FF9E9E9E"/>
      </left>
      <right/>
      <top/>
      <bottom/>
      <diagonal/>
    </border>
    <border>
      <left/>
      <right style="medium">
        <color rgb="FF9E9E9E"/>
      </right>
      <top/>
      <bottom/>
      <diagonal/>
    </border>
    <border>
      <left style="medium">
        <color rgb="FF9E9E9E"/>
      </left>
      <right/>
      <top/>
      <bottom style="medium">
        <color rgb="FF9E9E9E"/>
      </bottom>
      <diagonal/>
    </border>
    <border>
      <left/>
      <right style="medium">
        <color rgb="FF9E9E9E"/>
      </right>
      <top/>
      <bottom style="medium">
        <color rgb="FF9E9E9E"/>
      </bottom>
      <diagonal/>
    </border>
    <border>
      <left/>
      <right style="medium">
        <color rgb="FF9E9E9E"/>
      </right>
      <top style="medium">
        <color indexed="64"/>
      </top>
      <bottom/>
      <diagonal/>
    </border>
    <border>
      <left/>
      <right/>
      <top style="medium">
        <color rgb="FF8E8E8E"/>
      </top>
      <bottom style="medium">
        <color rgb="FF8E8E8E"/>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62">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5"/>
    </xf>
    <xf numFmtId="0" fontId="0" fillId="2" borderId="0" xfId="0" applyFill="1"/>
    <xf numFmtId="0" fontId="1" fillId="0" borderId="0" xfId="0" applyFont="1"/>
    <xf numFmtId="0" fontId="0" fillId="0" borderId="1" xfId="0" applyBorder="1"/>
    <xf numFmtId="0" fontId="4" fillId="0" borderId="0" xfId="0" applyFont="1"/>
    <xf numFmtId="0" fontId="4" fillId="2" borderId="0" xfId="0" applyFont="1" applyFill="1"/>
    <xf numFmtId="0" fontId="0" fillId="0" borderId="2" xfId="0" applyBorder="1"/>
    <xf numFmtId="0" fontId="1" fillId="0" borderId="3" xfId="0" applyFont="1" applyBorder="1"/>
    <xf numFmtId="0" fontId="1" fillId="0" borderId="4" xfId="0" applyFont="1" applyBorder="1"/>
    <xf numFmtId="0" fontId="0" fillId="0" borderId="0" xfId="0" applyAlignment="1">
      <alignment vertical="center"/>
    </xf>
    <xf numFmtId="0" fontId="7" fillId="0" borderId="6" xfId="0"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11" fontId="6" fillId="0" borderId="0" xfId="0" applyNumberFormat="1" applyFont="1" applyAlignment="1">
      <alignment vertical="center" wrapText="1"/>
    </xf>
    <xf numFmtId="11" fontId="5" fillId="0" borderId="0" xfId="0" applyNumberFormat="1" applyFont="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6" fillId="0" borderId="5" xfId="0" applyFont="1" applyBorder="1" applyAlignment="1">
      <alignment vertical="center" wrapText="1"/>
    </xf>
    <xf numFmtId="0" fontId="6" fillId="0" borderId="6" xfId="0" applyFont="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5" fillId="0" borderId="1" xfId="0" applyFont="1" applyBorder="1" applyAlignment="1">
      <alignment vertical="center" wrapText="1"/>
    </xf>
    <xf numFmtId="0" fontId="9" fillId="0" borderId="1" xfId="0" applyFont="1" applyBorder="1"/>
    <xf numFmtId="0" fontId="1" fillId="3" borderId="0" xfId="0" applyFont="1" applyFill="1"/>
    <xf numFmtId="0" fontId="1" fillId="3" borderId="3" xfId="0" applyFont="1" applyFill="1" applyBorder="1"/>
    <xf numFmtId="0" fontId="0" fillId="0" borderId="7" xfId="0" applyBorder="1" applyAlignment="1">
      <alignment horizontal="center" vertical="center" wrapText="1"/>
    </xf>
    <xf numFmtId="0" fontId="0" fillId="0" borderId="7" xfId="0" applyBorder="1" applyAlignment="1">
      <alignment horizontal="center" vertical="center"/>
    </xf>
    <xf numFmtId="0" fontId="0" fillId="0" borderId="0" xfId="0" applyAlignment="1">
      <alignment horizontal="center" vertical="center" wrapText="1"/>
    </xf>
    <xf numFmtId="0" fontId="15" fillId="5" borderId="10" xfId="0" applyFont="1" applyFill="1" applyBorder="1" applyAlignment="1">
      <alignment horizontal="center" vertical="top" wrapText="1"/>
    </xf>
    <xf numFmtId="0" fontId="17" fillId="4" borderId="11" xfId="0" applyFont="1" applyFill="1" applyBorder="1" applyAlignment="1">
      <alignment horizontal="left" vertical="top" wrapText="1" indent="1"/>
    </xf>
    <xf numFmtId="0" fontId="17" fillId="4" borderId="13" xfId="0" applyFont="1" applyFill="1" applyBorder="1" applyAlignment="1">
      <alignment horizontal="left" vertical="top" wrapText="1" indent="1"/>
    </xf>
    <xf numFmtId="0" fontId="0" fillId="0" borderId="0" xfId="0" applyAlignment="1">
      <alignment horizontal="center" vertical="center"/>
    </xf>
    <xf numFmtId="0" fontId="15" fillId="6" borderId="0" xfId="0" applyFont="1" applyFill="1"/>
    <xf numFmtId="11" fontId="0" fillId="0" borderId="0" xfId="0" applyNumberFormat="1"/>
    <xf numFmtId="0" fontId="0" fillId="0" borderId="8" xfId="0" applyBorder="1"/>
    <xf numFmtId="16" fontId="0" fillId="0" borderId="8" xfId="0" applyNumberFormat="1" applyBorder="1"/>
    <xf numFmtId="11" fontId="0" fillId="0" borderId="8" xfId="0" applyNumberFormat="1" applyBorder="1"/>
    <xf numFmtId="0" fontId="0" fillId="0" borderId="3" xfId="0" applyBorder="1"/>
    <xf numFmtId="16" fontId="0" fillId="0" borderId="1" xfId="0" applyNumberFormat="1" applyBorder="1"/>
    <xf numFmtId="11" fontId="0" fillId="0" borderId="1" xfId="0" applyNumberFormat="1" applyBorder="1"/>
    <xf numFmtId="0" fontId="24" fillId="0" borderId="0" xfId="0" applyFont="1" applyAlignment="1">
      <alignment vertical="center" wrapText="1"/>
    </xf>
    <xf numFmtId="0" fontId="20" fillId="0" borderId="0" xfId="1" applyAlignment="1">
      <alignment vertical="center" wrapText="1"/>
    </xf>
    <xf numFmtId="0" fontId="22" fillId="0" borderId="16" xfId="0" applyFont="1" applyBorder="1" applyAlignment="1">
      <alignment horizontal="center" vertical="center" wrapText="1"/>
    </xf>
    <xf numFmtId="0" fontId="24" fillId="0" borderId="5" xfId="0" applyFont="1" applyBorder="1" applyAlignment="1">
      <alignment vertical="center" wrapText="1"/>
    </xf>
    <xf numFmtId="0" fontId="22" fillId="0" borderId="0" xfId="0" applyFont="1" applyAlignment="1">
      <alignment horizontal="center" vertical="center" wrapText="1"/>
    </xf>
    <xf numFmtId="11" fontId="19" fillId="0" borderId="0" xfId="0" applyNumberFormat="1" applyFont="1"/>
    <xf numFmtId="0" fontId="19" fillId="0" borderId="0" xfId="0" applyFont="1"/>
    <xf numFmtId="11" fontId="0" fillId="0" borderId="3" xfId="0" applyNumberFormat="1" applyBorder="1"/>
    <xf numFmtId="0" fontId="22" fillId="7" borderId="16" xfId="0" applyFont="1" applyFill="1" applyBorder="1" applyAlignment="1">
      <alignment horizontal="center" vertical="center" wrapText="1"/>
    </xf>
    <xf numFmtId="2" fontId="17" fillId="4" borderId="12" xfId="0" applyNumberFormat="1" applyFont="1" applyFill="1" applyBorder="1" applyAlignment="1">
      <alignment horizontal="center" vertical="top" wrapText="1"/>
    </xf>
    <xf numFmtId="2" fontId="17" fillId="4" borderId="14" xfId="0" applyNumberFormat="1" applyFont="1" applyFill="1" applyBorder="1" applyAlignment="1">
      <alignment horizontal="center" vertical="top" wrapText="1"/>
    </xf>
    <xf numFmtId="0" fontId="1" fillId="7" borderId="0" xfId="0" applyFont="1" applyFill="1"/>
    <xf numFmtId="0" fontId="25" fillId="5" borderId="9" xfId="0" applyFont="1" applyFill="1" applyBorder="1" applyAlignment="1">
      <alignment horizontal="left" vertical="top" wrapText="1"/>
    </xf>
    <xf numFmtId="0" fontId="0" fillId="6" borderId="0" xfId="0" applyFill="1" applyAlignment="1">
      <alignment horizontal="center" vertical="center"/>
    </xf>
    <xf numFmtId="0" fontId="0" fillId="6" borderId="0" xfId="0" applyFill="1" applyAlignment="1">
      <alignment horizontal="center" wrapText="1"/>
    </xf>
    <xf numFmtId="0" fontId="0" fillId="0" borderId="0" xfId="0" applyAlignment="1">
      <alignment wrapText="1"/>
    </xf>
    <xf numFmtId="0" fontId="0" fillId="0" borderId="1" xfId="0" applyBorder="1" applyAlignment="1">
      <alignment wrapText="1"/>
    </xf>
    <xf numFmtId="0" fontId="0" fillId="8" borderId="0" xfId="0" applyFill="1"/>
    <xf numFmtId="0" fontId="14" fillId="0" borderId="0" xfId="0" applyFont="1"/>
    <xf numFmtId="164" fontId="14" fillId="8" borderId="17" xfId="0" applyNumberFormat="1" applyFont="1" applyFill="1" applyBorder="1"/>
    <xf numFmtId="164" fontId="14" fillId="8" borderId="18" xfId="0" applyNumberFormat="1" applyFont="1" applyFill="1" applyBorder="1"/>
    <xf numFmtId="164" fontId="14" fillId="8" borderId="2" xfId="0" applyNumberFormat="1" applyFont="1" applyFill="1" applyBorder="1"/>
    <xf numFmtId="164" fontId="14" fillId="8" borderId="19" xfId="0" applyNumberFormat="1" applyFont="1" applyFill="1" applyBorder="1"/>
    <xf numFmtId="164" fontId="0" fillId="8" borderId="20" xfId="0" applyNumberFormat="1" applyFill="1" applyBorder="1"/>
    <xf numFmtId="164" fontId="0" fillId="8" borderId="21" xfId="0" applyNumberFormat="1" applyFill="1" applyBorder="1"/>
    <xf numFmtId="164" fontId="14" fillId="8" borderId="20" xfId="0" applyNumberFormat="1" applyFont="1" applyFill="1" applyBorder="1"/>
    <xf numFmtId="164" fontId="14" fillId="8" borderId="21" xfId="0" applyNumberFormat="1" applyFont="1" applyFill="1" applyBorder="1"/>
    <xf numFmtId="0" fontId="0" fillId="8" borderId="2" xfId="0" applyFill="1" applyBorder="1"/>
    <xf numFmtId="0" fontId="0" fillId="8" borderId="19" xfId="0" applyFill="1" applyBorder="1"/>
    <xf numFmtId="0" fontId="0" fillId="8" borderId="20" xfId="0" applyFill="1" applyBorder="1"/>
    <xf numFmtId="0" fontId="0" fillId="8" borderId="21" xfId="0" applyFill="1" applyBorder="1"/>
    <xf numFmtId="2" fontId="14" fillId="8" borderId="18" xfId="0" applyNumberFormat="1" applyFont="1" applyFill="1" applyBorder="1"/>
    <xf numFmtId="2" fontId="14" fillId="8" borderId="19" xfId="0" applyNumberFormat="1" applyFont="1" applyFill="1" applyBorder="1"/>
    <xf numFmtId="2" fontId="14" fillId="8" borderId="21" xfId="0" applyNumberFormat="1" applyFont="1" applyFill="1" applyBorder="1"/>
    <xf numFmtId="1" fontId="14" fillId="2" borderId="17" xfId="0" applyNumberFormat="1" applyFont="1" applyFill="1" applyBorder="1"/>
    <xf numFmtId="2" fontId="14" fillId="2" borderId="18" xfId="0" applyNumberFormat="1" applyFont="1" applyFill="1" applyBorder="1"/>
    <xf numFmtId="1" fontId="14" fillId="2" borderId="2" xfId="0" applyNumberFormat="1" applyFont="1" applyFill="1" applyBorder="1"/>
    <xf numFmtId="2" fontId="14" fillId="2" borderId="19" xfId="0" applyNumberFormat="1" applyFont="1" applyFill="1" applyBorder="1"/>
    <xf numFmtId="1" fontId="14" fillId="2" borderId="20" xfId="0" applyNumberFormat="1" applyFont="1" applyFill="1" applyBorder="1"/>
    <xf numFmtId="2" fontId="14" fillId="2" borderId="21" xfId="0" applyNumberFormat="1" applyFont="1" applyFill="1" applyBorder="1"/>
    <xf numFmtId="2" fontId="14" fillId="2" borderId="1" xfId="0" applyNumberFormat="1" applyFont="1" applyFill="1" applyBorder="1"/>
    <xf numFmtId="2" fontId="14" fillId="2" borderId="0" xfId="0" applyNumberFormat="1" applyFont="1" applyFill="1"/>
    <xf numFmtId="2" fontId="14" fillId="2" borderId="3" xfId="0" applyNumberFormat="1" applyFont="1" applyFill="1" applyBorder="1"/>
    <xf numFmtId="1" fontId="14" fillId="0" borderId="0" xfId="0" applyNumberFormat="1" applyFont="1"/>
    <xf numFmtId="1" fontId="14" fillId="0" borderId="17" xfId="0" applyNumberFormat="1" applyFont="1" applyBorder="1"/>
    <xf numFmtId="2" fontId="14" fillId="0" borderId="18" xfId="0" applyNumberFormat="1" applyFont="1" applyBorder="1"/>
    <xf numFmtId="0" fontId="0" fillId="0" borderId="18" xfId="0" applyBorder="1"/>
    <xf numFmtId="1" fontId="14" fillId="0" borderId="2" xfId="0" applyNumberFormat="1" applyFont="1" applyBorder="1"/>
    <xf numFmtId="2" fontId="14" fillId="0" borderId="19" xfId="0" applyNumberFormat="1" applyFont="1" applyBorder="1"/>
    <xf numFmtId="0" fontId="0" fillId="0" borderId="19" xfId="0" applyBorder="1"/>
    <xf numFmtId="1" fontId="14" fillId="0" borderId="20" xfId="0" applyNumberFormat="1" applyFont="1" applyBorder="1"/>
    <xf numFmtId="0" fontId="0" fillId="0" borderId="21" xfId="0" applyBorder="1"/>
    <xf numFmtId="0" fontId="0" fillId="0" borderId="17" xfId="0" applyBorder="1"/>
    <xf numFmtId="0" fontId="0" fillId="9" borderId="2" xfId="0" applyFill="1" applyBorder="1"/>
    <xf numFmtId="0" fontId="0" fillId="9" borderId="19" xfId="0" applyFill="1" applyBorder="1"/>
    <xf numFmtId="0" fontId="0" fillId="9" borderId="3" xfId="0" applyFill="1" applyBorder="1"/>
    <xf numFmtId="0" fontId="0" fillId="9" borderId="21" xfId="0" applyFill="1" applyBorder="1"/>
    <xf numFmtId="0" fontId="0" fillId="9" borderId="0" xfId="0" applyFill="1"/>
    <xf numFmtId="0" fontId="0" fillId="9" borderId="17" xfId="0" applyFill="1" applyBorder="1"/>
    <xf numFmtId="0" fontId="0" fillId="9" borderId="18" xfId="0" applyFill="1" applyBorder="1"/>
    <xf numFmtId="0" fontId="0" fillId="9" borderId="20" xfId="0" applyFill="1" applyBorder="1"/>
    <xf numFmtId="0" fontId="0" fillId="9" borderId="1" xfId="0" applyFill="1" applyBorder="1"/>
    <xf numFmtId="0" fontId="14" fillId="0" borderId="3" xfId="0" applyFont="1" applyBorder="1"/>
    <xf numFmtId="0" fontId="14" fillId="0" borderId="21" xfId="0" applyFont="1" applyBorder="1"/>
    <xf numFmtId="0" fontId="0" fillId="10" borderId="17" xfId="0" applyFill="1" applyBorder="1"/>
    <xf numFmtId="0" fontId="0" fillId="10" borderId="18" xfId="0" applyFill="1" applyBorder="1"/>
    <xf numFmtId="0" fontId="0" fillId="10" borderId="2" xfId="0" applyFill="1" applyBorder="1"/>
    <xf numFmtId="0" fontId="0" fillId="10" borderId="19" xfId="0" applyFill="1" applyBorder="1"/>
    <xf numFmtId="0" fontId="0" fillId="10" borderId="20" xfId="0" applyFill="1" applyBorder="1"/>
    <xf numFmtId="0" fontId="0" fillId="10" borderId="21" xfId="0" applyFill="1" applyBorder="1"/>
    <xf numFmtId="0" fontId="0" fillId="0" borderId="20" xfId="0" applyBorder="1"/>
    <xf numFmtId="0" fontId="24" fillId="0" borderId="17" xfId="0" applyFont="1" applyBorder="1" applyAlignment="1">
      <alignment vertical="center" wrapText="1"/>
    </xf>
    <xf numFmtId="0" fontId="24" fillId="0" borderId="2" xfId="0" applyFont="1" applyBorder="1" applyAlignment="1">
      <alignment vertical="center" wrapText="1"/>
    </xf>
    <xf numFmtId="0" fontId="24" fillId="0" borderId="20" xfId="0" applyFont="1" applyBorder="1" applyAlignment="1">
      <alignment vertical="center" wrapText="1"/>
    </xf>
    <xf numFmtId="165" fontId="24" fillId="0" borderId="18" xfId="0" applyNumberFormat="1" applyFont="1" applyBorder="1" applyAlignment="1">
      <alignment vertical="center" wrapText="1"/>
    </xf>
    <xf numFmtId="165" fontId="24" fillId="0" borderId="19" xfId="0" applyNumberFormat="1" applyFont="1" applyBorder="1" applyAlignment="1">
      <alignment vertical="center" wrapText="1"/>
    </xf>
    <xf numFmtId="165" fontId="24" fillId="0" borderId="21" xfId="0" applyNumberFormat="1" applyFont="1" applyBorder="1" applyAlignment="1">
      <alignment vertical="center" wrapText="1"/>
    </xf>
    <xf numFmtId="0" fontId="15" fillId="2" borderId="0" xfId="0" applyFont="1" applyFill="1"/>
    <xf numFmtId="0" fontId="0" fillId="0" borderId="0" xfId="0" applyAlignment="1">
      <alignment vertical="center" wrapText="1"/>
    </xf>
    <xf numFmtId="0" fontId="26" fillId="0" borderId="0" xfId="0" applyFont="1"/>
    <xf numFmtId="0" fontId="1" fillId="0" borderId="0" xfId="0" applyFont="1" applyAlignment="1">
      <alignment vertical="center" wrapText="1"/>
    </xf>
    <xf numFmtId="0" fontId="1" fillId="0" borderId="0" xfId="0" applyFont="1" applyAlignment="1">
      <alignment horizontal="center" vertical="center" wrapText="1"/>
    </xf>
    <xf numFmtId="0" fontId="1" fillId="0" borderId="3" xfId="0" applyFont="1" applyBorder="1" applyAlignment="1">
      <alignment horizontal="center"/>
    </xf>
    <xf numFmtId="0" fontId="1" fillId="0" borderId="4" xfId="0" applyFont="1" applyBorder="1" applyAlignment="1">
      <alignment horizontal="center"/>
    </xf>
    <xf numFmtId="0" fontId="6" fillId="0" borderId="5" xfId="0" applyFont="1" applyBorder="1" applyAlignment="1">
      <alignment horizontal="center" vertical="center" wrapText="1"/>
    </xf>
    <xf numFmtId="0" fontId="8" fillId="0" borderId="6" xfId="0" applyFont="1" applyBorder="1" applyAlignment="1">
      <alignment vertical="center" wrapText="1"/>
    </xf>
    <xf numFmtId="0" fontId="7" fillId="0" borderId="6" xfId="0" applyFont="1" applyBorder="1" applyAlignment="1">
      <alignment horizontal="center" vertical="center" wrapText="1"/>
    </xf>
    <xf numFmtId="0" fontId="0" fillId="0" borderId="1" xfId="0" applyBorder="1" applyAlignment="1">
      <alignment horizontal="center" wrapText="1"/>
    </xf>
    <xf numFmtId="0" fontId="0" fillId="0" borderId="0" xfId="0" applyAlignment="1">
      <alignment horizontal="center" wrapText="1"/>
    </xf>
    <xf numFmtId="0" fontId="0" fillId="10" borderId="0" xfId="0" applyFill="1" applyAlignment="1">
      <alignment horizontal="center" vertical="center" wrapText="1"/>
    </xf>
    <xf numFmtId="0" fontId="0" fillId="0" borderId="0" xfId="0" applyAlignment="1">
      <alignment horizontal="center" vertical="center" wrapText="1"/>
    </xf>
    <xf numFmtId="0" fontId="21" fillId="8" borderId="1" xfId="0" applyFont="1" applyFill="1" applyBorder="1" applyAlignment="1">
      <alignment horizontal="center" vertical="center" wrapText="1"/>
    </xf>
    <xf numFmtId="0" fontId="21" fillId="8" borderId="0" xfId="0" applyFont="1" applyFill="1" applyAlignment="1">
      <alignment horizontal="center" vertical="center" wrapText="1"/>
    </xf>
    <xf numFmtId="11" fontId="0" fillId="0" borderId="1" xfId="0" applyNumberFormat="1" applyBorder="1" applyAlignment="1">
      <alignment horizontal="center"/>
    </xf>
    <xf numFmtId="0" fontId="0" fillId="8" borderId="1" xfId="0" applyFill="1" applyBorder="1" applyAlignment="1">
      <alignment horizontal="center" vertical="center" wrapText="1"/>
    </xf>
    <xf numFmtId="0" fontId="0" fillId="8" borderId="0" xfId="0" applyFill="1" applyAlignment="1">
      <alignment horizontal="center" vertical="center" wrapText="1"/>
    </xf>
    <xf numFmtId="0" fontId="0" fillId="8" borderId="3" xfId="0" applyFill="1" applyBorder="1" applyAlignment="1">
      <alignment horizontal="center" vertical="center" wrapText="1"/>
    </xf>
    <xf numFmtId="0" fontId="21" fillId="8" borderId="3"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0" xfId="0" applyFont="1" applyAlignment="1">
      <alignment horizontal="center" vertical="center" wrapText="1"/>
    </xf>
    <xf numFmtId="0" fontId="0" fillId="9" borderId="0" xfId="0" applyFill="1" applyAlignment="1">
      <alignment vertical="top" wrapText="1"/>
    </xf>
    <xf numFmtId="0" fontId="0" fillId="2" borderId="1" xfId="0" applyFill="1" applyBorder="1" applyAlignment="1">
      <alignment horizontal="center" vertical="top" wrapText="1"/>
    </xf>
    <xf numFmtId="0" fontId="0" fillId="2" borderId="0" xfId="0" applyFill="1" applyAlignment="1">
      <alignment horizontal="center" vertical="top"/>
    </xf>
    <xf numFmtId="0" fontId="0" fillId="2" borderId="3" xfId="0" applyFill="1" applyBorder="1" applyAlignment="1">
      <alignment horizontal="center" vertical="top"/>
    </xf>
    <xf numFmtId="0" fontId="0" fillId="2" borderId="0" xfId="0" applyFill="1" applyAlignment="1">
      <alignment horizontal="center" vertical="top" wrapText="1"/>
    </xf>
    <xf numFmtId="0" fontId="0" fillId="8" borderId="8" xfId="0" applyFill="1" applyBorder="1" applyAlignment="1">
      <alignment horizontal="center" vertical="center" wrapText="1"/>
    </xf>
    <xf numFmtId="0" fontId="0" fillId="9" borderId="0" xfId="0" applyFill="1" applyAlignment="1">
      <alignment horizontal="left"/>
    </xf>
    <xf numFmtId="0" fontId="0" fillId="0" borderId="0" xfId="0"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center" vertical="center" wrapText="1"/>
    </xf>
    <xf numFmtId="0" fontId="0" fillId="0" borderId="0" xfId="0" applyAlignment="1">
      <alignment horizontal="left" vertical="top" wrapText="1"/>
    </xf>
    <xf numFmtId="0" fontId="0" fillId="8" borderId="15" xfId="0" applyFill="1" applyBorder="1" applyAlignment="1">
      <alignment horizontal="center" vertical="center" wrapText="1"/>
    </xf>
    <xf numFmtId="0" fontId="0" fillId="8" borderId="12"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Pond</a:t>
            </a:r>
            <a:r>
              <a:rPr lang="en-US" baseline="0"/>
              <a:t> reactor </a:t>
            </a:r>
            <a:r>
              <a:rPr lang="en-US"/>
              <a:t>M8a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data!$Z$36:$Z$55</c:f>
              <c:numCache>
                <c:formatCode>0.0</c:formatCode>
                <c:ptCount val="20"/>
                <c:pt idx="0">
                  <c:v>0</c:v>
                </c:pt>
                <c:pt idx="1">
                  <c:v>18.500000000000014</c:v>
                </c:pt>
                <c:pt idx="2">
                  <c:v>18.516666666666652</c:v>
                </c:pt>
                <c:pt idx="3">
                  <c:v>23.166666666666686</c:v>
                </c:pt>
                <c:pt idx="4">
                  <c:v>42.166666666666671</c:v>
                </c:pt>
                <c:pt idx="5">
                  <c:v>42.166666666666671</c:v>
                </c:pt>
                <c:pt idx="6">
                  <c:v>45.9166666666667</c:v>
                </c:pt>
                <c:pt idx="7">
                  <c:v>45.9166666666667</c:v>
                </c:pt>
                <c:pt idx="8">
                  <c:v>111.16666666666667</c:v>
                </c:pt>
                <c:pt idx="9">
                  <c:v>111.16666666666667</c:v>
                </c:pt>
                <c:pt idx="10">
                  <c:v>117.91666666666667</c:v>
                </c:pt>
                <c:pt idx="11">
                  <c:v>134.91666666666669</c:v>
                </c:pt>
                <c:pt idx="12">
                  <c:v>134.91666666666669</c:v>
                </c:pt>
                <c:pt idx="13">
                  <c:v>140.41666666666669</c:v>
                </c:pt>
                <c:pt idx="14">
                  <c:v>160</c:v>
                </c:pt>
                <c:pt idx="15">
                  <c:v>166.00000000000003</c:v>
                </c:pt>
                <c:pt idx="16">
                  <c:v>185.50000000000003</c:v>
                </c:pt>
                <c:pt idx="17">
                  <c:v>190.00000000000003</c:v>
                </c:pt>
                <c:pt idx="18">
                  <c:v>208.24999999999997</c:v>
                </c:pt>
                <c:pt idx="19">
                  <c:v>208.24999999999997</c:v>
                </c:pt>
              </c:numCache>
            </c:numRef>
          </c:xVal>
          <c:yVal>
            <c:numRef>
              <c:f>data!$AA$36:$AA$55</c:f>
              <c:numCache>
                <c:formatCode>0.00</c:formatCode>
                <c:ptCount val="20"/>
                <c:pt idx="0">
                  <c:v>5.0600000000000003E-3</c:v>
                </c:pt>
                <c:pt idx="1">
                  <c:v>0.1628</c:v>
                </c:pt>
                <c:pt idx="2">
                  <c:v>0.15751999999999999</c:v>
                </c:pt>
                <c:pt idx="3">
                  <c:v>0.20019999999999999</c:v>
                </c:pt>
                <c:pt idx="4">
                  <c:v>0.34649999999999997</c:v>
                </c:pt>
                <c:pt idx="5">
                  <c:v>0.34320000000000001</c:v>
                </c:pt>
                <c:pt idx="6">
                  <c:v>0.39159999999999995</c:v>
                </c:pt>
                <c:pt idx="7">
                  <c:v>0.37949999999999995</c:v>
                </c:pt>
                <c:pt idx="8">
                  <c:v>0.75679999999999992</c:v>
                </c:pt>
                <c:pt idx="9">
                  <c:v>0.7831999999999999</c:v>
                </c:pt>
                <c:pt idx="10">
                  <c:v>0.8448</c:v>
                </c:pt>
                <c:pt idx="11">
                  <c:v>0.88880000000000003</c:v>
                </c:pt>
                <c:pt idx="12">
                  <c:v>0.93280000000000007</c:v>
                </c:pt>
                <c:pt idx="13">
                  <c:v>0.97240000000000004</c:v>
                </c:pt>
                <c:pt idx="14">
                  <c:v>1.0208000000000002</c:v>
                </c:pt>
                <c:pt idx="15">
                  <c:v>1.0427999999999999</c:v>
                </c:pt>
                <c:pt idx="16">
                  <c:v>1.1088</c:v>
                </c:pt>
                <c:pt idx="17">
                  <c:v>1.1175999999999999</c:v>
                </c:pt>
                <c:pt idx="18">
                  <c:v>1.0471999999999999</c:v>
                </c:pt>
                <c:pt idx="19">
                  <c:v>0.99219999999999997</c:v>
                </c:pt>
              </c:numCache>
            </c:numRef>
          </c:yVal>
          <c:smooth val="0"/>
          <c:extLst>
            <c:ext xmlns:c16="http://schemas.microsoft.com/office/drawing/2014/chart" uri="{C3380CC4-5D6E-409C-BE32-E72D297353CC}">
              <c16:uniqueId val="{00000001-2C38-4DB9-A974-D273DF61A31F}"/>
            </c:ext>
          </c:extLst>
        </c:ser>
        <c:dLbls>
          <c:showLegendKey val="0"/>
          <c:showVal val="0"/>
          <c:showCatName val="0"/>
          <c:showSerName val="0"/>
          <c:showPercent val="0"/>
          <c:showBubbleSize val="0"/>
        </c:dLbls>
        <c:axId val="52900607"/>
        <c:axId val="1937957551"/>
      </c:scatterChart>
      <c:valAx>
        <c:axId val="529006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957551"/>
        <c:crosses val="autoZero"/>
        <c:crossBetween val="midCat"/>
      </c:valAx>
      <c:valAx>
        <c:axId val="1937957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0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Wastewater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3"/>
              </a:solidFill>
              <a:ln w="9525">
                <a:solidFill>
                  <a:schemeClr val="accent3"/>
                </a:solidFill>
              </a:ln>
              <a:effectLst/>
            </c:spPr>
          </c:marker>
          <c:xVal>
            <c:numRef>
              <c:f>data!$Z$56:$Z$69</c:f>
              <c:numCache>
                <c:formatCode>0.0</c:formatCode>
                <c:ptCount val="14"/>
                <c:pt idx="0">
                  <c:v>0</c:v>
                </c:pt>
                <c:pt idx="1">
                  <c:v>16.833333333333258</c:v>
                </c:pt>
                <c:pt idx="2">
                  <c:v>42.499999999999901</c:v>
                </c:pt>
                <c:pt idx="3">
                  <c:v>71.749999999999901</c:v>
                </c:pt>
                <c:pt idx="4">
                  <c:v>71.749999999999886</c:v>
                </c:pt>
                <c:pt idx="5">
                  <c:v>96.499999999999886</c:v>
                </c:pt>
                <c:pt idx="6">
                  <c:v>114.49999999999989</c:v>
                </c:pt>
                <c:pt idx="7">
                  <c:v>138.99999999999994</c:v>
                </c:pt>
                <c:pt idx="8">
                  <c:v>163.3333333333332</c:v>
                </c:pt>
                <c:pt idx="9">
                  <c:v>193.83333333333326</c:v>
                </c:pt>
                <c:pt idx="10">
                  <c:v>215.33333333333331</c:v>
                </c:pt>
                <c:pt idx="11">
                  <c:v>237.49999999999989</c:v>
                </c:pt>
                <c:pt idx="12">
                  <c:v>262.16666666666657</c:v>
                </c:pt>
                <c:pt idx="13">
                  <c:v>283.5</c:v>
                </c:pt>
              </c:numCache>
            </c:numRef>
          </c:xVal>
          <c:yVal>
            <c:numRef>
              <c:f>data!$AA$56:$AA$69</c:f>
              <c:numCache>
                <c:formatCode>0.00</c:formatCode>
                <c:ptCount val="14"/>
                <c:pt idx="0">
                  <c:v>0.14608000000000002</c:v>
                </c:pt>
                <c:pt idx="1">
                  <c:v>0.28600000000000003</c:v>
                </c:pt>
                <c:pt idx="2">
                  <c:v>0.55000000000000004</c:v>
                </c:pt>
                <c:pt idx="3">
                  <c:v>0.79199999999999993</c:v>
                </c:pt>
                <c:pt idx="4">
                  <c:v>0.87119999999999997</c:v>
                </c:pt>
                <c:pt idx="5">
                  <c:v>0.85250000000000004</c:v>
                </c:pt>
                <c:pt idx="6">
                  <c:v>1.034</c:v>
                </c:pt>
                <c:pt idx="7">
                  <c:v>1.012</c:v>
                </c:pt>
                <c:pt idx="8">
                  <c:v>1.2649999999999999</c:v>
                </c:pt>
                <c:pt idx="9">
                  <c:v>1.3089999999999999</c:v>
                </c:pt>
                <c:pt idx="10">
                  <c:v>1.375</c:v>
                </c:pt>
                <c:pt idx="11">
                  <c:v>1.397</c:v>
                </c:pt>
                <c:pt idx="12">
                  <c:v>1.2649999999999999</c:v>
                </c:pt>
                <c:pt idx="13">
                  <c:v>1.2870000000000001</c:v>
                </c:pt>
              </c:numCache>
            </c:numRef>
          </c:yVal>
          <c:smooth val="0"/>
          <c:extLst>
            <c:ext xmlns:c16="http://schemas.microsoft.com/office/drawing/2014/chart" uri="{C3380CC4-5D6E-409C-BE32-E72D297353CC}">
              <c16:uniqueId val="{00000001-FCD7-4924-B1E4-6C30FF5E47BD}"/>
            </c:ext>
          </c:extLst>
        </c:ser>
        <c:dLbls>
          <c:showLegendKey val="0"/>
          <c:showVal val="0"/>
          <c:showCatName val="0"/>
          <c:showSerName val="0"/>
          <c:showPercent val="0"/>
          <c:showBubbleSize val="0"/>
        </c:dLbls>
        <c:axId val="52900607"/>
        <c:axId val="1937957551"/>
      </c:scatterChart>
      <c:valAx>
        <c:axId val="529006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957551"/>
        <c:crosses val="autoZero"/>
        <c:crossBetween val="midCat"/>
      </c:valAx>
      <c:valAx>
        <c:axId val="1937957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0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594676896306257E-2"/>
          <c:y val="0.15527939663473345"/>
          <c:w val="0.88435524868234672"/>
          <c:h val="0.72666695016579752"/>
        </c:manualLayout>
      </c:layout>
      <c:scatterChart>
        <c:scatterStyle val="lineMarker"/>
        <c:varyColors val="0"/>
        <c:ser>
          <c:idx val="0"/>
          <c:order val="0"/>
          <c:tx>
            <c:v>M8a</c:v>
          </c:tx>
          <c:spPr>
            <a:ln w="25400" cap="rnd">
              <a:noFill/>
              <a:round/>
            </a:ln>
            <a:effectLst/>
          </c:spPr>
          <c:marker>
            <c:symbol val="circle"/>
            <c:size val="5"/>
            <c:spPr>
              <a:solidFill>
                <a:schemeClr val="accent1"/>
              </a:solidFill>
              <a:ln w="9525">
                <a:solidFill>
                  <a:schemeClr val="accent1"/>
                </a:solidFill>
              </a:ln>
              <a:effectLst/>
            </c:spPr>
          </c:marker>
          <c:xVal>
            <c:numRef>
              <c:f>data!$Z$36:$Z$55</c:f>
              <c:numCache>
                <c:formatCode>0.0</c:formatCode>
                <c:ptCount val="20"/>
                <c:pt idx="0">
                  <c:v>0</c:v>
                </c:pt>
                <c:pt idx="1">
                  <c:v>18.500000000000014</c:v>
                </c:pt>
                <c:pt idx="2">
                  <c:v>18.516666666666652</c:v>
                </c:pt>
                <c:pt idx="3">
                  <c:v>23.166666666666686</c:v>
                </c:pt>
                <c:pt idx="4">
                  <c:v>42.166666666666671</c:v>
                </c:pt>
                <c:pt idx="5">
                  <c:v>42.166666666666671</c:v>
                </c:pt>
                <c:pt idx="6">
                  <c:v>45.9166666666667</c:v>
                </c:pt>
                <c:pt idx="7">
                  <c:v>45.9166666666667</c:v>
                </c:pt>
                <c:pt idx="8">
                  <c:v>111.16666666666667</c:v>
                </c:pt>
                <c:pt idx="9">
                  <c:v>111.16666666666667</c:v>
                </c:pt>
                <c:pt idx="10">
                  <c:v>117.91666666666667</c:v>
                </c:pt>
                <c:pt idx="11">
                  <c:v>134.91666666666669</c:v>
                </c:pt>
                <c:pt idx="12">
                  <c:v>134.91666666666669</c:v>
                </c:pt>
                <c:pt idx="13">
                  <c:v>140.41666666666669</c:v>
                </c:pt>
                <c:pt idx="14">
                  <c:v>160</c:v>
                </c:pt>
                <c:pt idx="15">
                  <c:v>166.00000000000003</c:v>
                </c:pt>
                <c:pt idx="16">
                  <c:v>185.50000000000003</c:v>
                </c:pt>
                <c:pt idx="17">
                  <c:v>190.00000000000003</c:v>
                </c:pt>
                <c:pt idx="18">
                  <c:v>208.24999999999997</c:v>
                </c:pt>
                <c:pt idx="19">
                  <c:v>208.24999999999997</c:v>
                </c:pt>
              </c:numCache>
            </c:numRef>
          </c:xVal>
          <c:yVal>
            <c:numRef>
              <c:f>data!$AA$36:$AA$55</c:f>
              <c:numCache>
                <c:formatCode>0.00</c:formatCode>
                <c:ptCount val="20"/>
                <c:pt idx="0">
                  <c:v>5.0600000000000003E-3</c:v>
                </c:pt>
                <c:pt idx="1">
                  <c:v>0.1628</c:v>
                </c:pt>
                <c:pt idx="2">
                  <c:v>0.15751999999999999</c:v>
                </c:pt>
                <c:pt idx="3">
                  <c:v>0.20019999999999999</c:v>
                </c:pt>
                <c:pt idx="4">
                  <c:v>0.34649999999999997</c:v>
                </c:pt>
                <c:pt idx="5">
                  <c:v>0.34320000000000001</c:v>
                </c:pt>
                <c:pt idx="6">
                  <c:v>0.39159999999999995</c:v>
                </c:pt>
                <c:pt idx="7">
                  <c:v>0.37949999999999995</c:v>
                </c:pt>
                <c:pt idx="8">
                  <c:v>0.75679999999999992</c:v>
                </c:pt>
                <c:pt idx="9">
                  <c:v>0.7831999999999999</c:v>
                </c:pt>
                <c:pt idx="10">
                  <c:v>0.8448</c:v>
                </c:pt>
                <c:pt idx="11">
                  <c:v>0.88880000000000003</c:v>
                </c:pt>
                <c:pt idx="12">
                  <c:v>0.93280000000000007</c:v>
                </c:pt>
                <c:pt idx="13">
                  <c:v>0.97240000000000004</c:v>
                </c:pt>
                <c:pt idx="14">
                  <c:v>1.0208000000000002</c:v>
                </c:pt>
                <c:pt idx="15">
                  <c:v>1.0427999999999999</c:v>
                </c:pt>
                <c:pt idx="16">
                  <c:v>1.1088</c:v>
                </c:pt>
                <c:pt idx="17">
                  <c:v>1.1175999999999999</c:v>
                </c:pt>
                <c:pt idx="18">
                  <c:v>1.0471999999999999</c:v>
                </c:pt>
                <c:pt idx="19">
                  <c:v>0.99219999999999997</c:v>
                </c:pt>
              </c:numCache>
            </c:numRef>
          </c:yVal>
          <c:smooth val="0"/>
          <c:extLst>
            <c:ext xmlns:c16="http://schemas.microsoft.com/office/drawing/2014/chart" uri="{C3380CC4-5D6E-409C-BE32-E72D297353CC}">
              <c16:uniqueId val="{00000000-ABD2-4899-BEC9-6012B59C6EB0}"/>
            </c:ext>
          </c:extLst>
        </c:ser>
        <c:ser>
          <c:idx val="1"/>
          <c:order val="1"/>
          <c:tx>
            <c:v>Wastewater</c:v>
          </c:tx>
          <c:spPr>
            <a:ln w="25400" cap="rnd">
              <a:noFill/>
              <a:round/>
            </a:ln>
            <a:effectLst/>
          </c:spPr>
          <c:marker>
            <c:symbol val="circle"/>
            <c:size val="5"/>
            <c:spPr>
              <a:solidFill>
                <a:schemeClr val="accent3"/>
              </a:solidFill>
              <a:ln w="9525">
                <a:solidFill>
                  <a:schemeClr val="accent3"/>
                </a:solidFill>
              </a:ln>
              <a:effectLst/>
            </c:spPr>
          </c:marker>
          <c:xVal>
            <c:numRef>
              <c:f>data!$Z$56:$Z$69</c:f>
              <c:numCache>
                <c:formatCode>0.0</c:formatCode>
                <c:ptCount val="14"/>
                <c:pt idx="0">
                  <c:v>0</c:v>
                </c:pt>
                <c:pt idx="1">
                  <c:v>16.833333333333258</c:v>
                </c:pt>
                <c:pt idx="2">
                  <c:v>42.499999999999901</c:v>
                </c:pt>
                <c:pt idx="3">
                  <c:v>71.749999999999901</c:v>
                </c:pt>
                <c:pt idx="4">
                  <c:v>71.749999999999886</c:v>
                </c:pt>
                <c:pt idx="5">
                  <c:v>96.499999999999886</c:v>
                </c:pt>
                <c:pt idx="6">
                  <c:v>114.49999999999989</c:v>
                </c:pt>
                <c:pt idx="7">
                  <c:v>138.99999999999994</c:v>
                </c:pt>
                <c:pt idx="8">
                  <c:v>163.3333333333332</c:v>
                </c:pt>
                <c:pt idx="9">
                  <c:v>193.83333333333326</c:v>
                </c:pt>
                <c:pt idx="10">
                  <c:v>215.33333333333331</c:v>
                </c:pt>
                <c:pt idx="11">
                  <c:v>237.49999999999989</c:v>
                </c:pt>
                <c:pt idx="12">
                  <c:v>262.16666666666657</c:v>
                </c:pt>
                <c:pt idx="13">
                  <c:v>283.5</c:v>
                </c:pt>
              </c:numCache>
            </c:numRef>
          </c:xVal>
          <c:yVal>
            <c:numRef>
              <c:f>data!$AA$56:$AA$69</c:f>
              <c:numCache>
                <c:formatCode>0.00</c:formatCode>
                <c:ptCount val="14"/>
                <c:pt idx="0">
                  <c:v>0.14608000000000002</c:v>
                </c:pt>
                <c:pt idx="1">
                  <c:v>0.28600000000000003</c:v>
                </c:pt>
                <c:pt idx="2">
                  <c:v>0.55000000000000004</c:v>
                </c:pt>
                <c:pt idx="3">
                  <c:v>0.79199999999999993</c:v>
                </c:pt>
                <c:pt idx="4">
                  <c:v>0.87119999999999997</c:v>
                </c:pt>
                <c:pt idx="5">
                  <c:v>0.85250000000000004</c:v>
                </c:pt>
                <c:pt idx="6">
                  <c:v>1.034</c:v>
                </c:pt>
                <c:pt idx="7">
                  <c:v>1.012</c:v>
                </c:pt>
                <c:pt idx="8">
                  <c:v>1.2649999999999999</c:v>
                </c:pt>
                <c:pt idx="9">
                  <c:v>1.3089999999999999</c:v>
                </c:pt>
                <c:pt idx="10">
                  <c:v>1.375</c:v>
                </c:pt>
                <c:pt idx="11">
                  <c:v>1.397</c:v>
                </c:pt>
                <c:pt idx="12">
                  <c:v>1.2649999999999999</c:v>
                </c:pt>
                <c:pt idx="13">
                  <c:v>1.2870000000000001</c:v>
                </c:pt>
              </c:numCache>
            </c:numRef>
          </c:yVal>
          <c:smooth val="0"/>
          <c:extLst>
            <c:ext xmlns:c16="http://schemas.microsoft.com/office/drawing/2014/chart" uri="{C3380CC4-5D6E-409C-BE32-E72D297353CC}">
              <c16:uniqueId val="{00000001-ABD2-4899-BEC9-6012B59C6EB0}"/>
            </c:ext>
          </c:extLst>
        </c:ser>
        <c:dLbls>
          <c:showLegendKey val="0"/>
          <c:showVal val="0"/>
          <c:showCatName val="0"/>
          <c:showSerName val="0"/>
          <c:showPercent val="0"/>
          <c:showBubbleSize val="0"/>
        </c:dLbls>
        <c:axId val="52900607"/>
        <c:axId val="1937957551"/>
      </c:scatterChart>
      <c:valAx>
        <c:axId val="529006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957551"/>
        <c:crosses val="autoZero"/>
        <c:crossBetween val="midCat"/>
      </c:valAx>
      <c:valAx>
        <c:axId val="1937957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0607"/>
        <c:crosses val="autoZero"/>
        <c:crossBetween val="midCat"/>
      </c:valAx>
      <c:spPr>
        <a:noFill/>
        <a:ln>
          <a:noFill/>
        </a:ln>
        <a:effectLst/>
      </c:spPr>
    </c:plotArea>
    <c:legend>
      <c:legendPos val="r"/>
      <c:layout>
        <c:manualLayout>
          <c:xMode val="edge"/>
          <c:yMode val="edge"/>
          <c:x val="0.76485730515628492"/>
          <c:y val="0.43083428849464928"/>
          <c:w val="0.17422175164601808"/>
          <c:h val="0.23441481026204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70 rpm exp</c:v>
          </c:tx>
          <c:spPr>
            <a:ln w="25400" cap="rnd">
              <a:noFill/>
              <a:round/>
            </a:ln>
            <a:effectLst/>
          </c:spPr>
          <c:marker>
            <c:symbol val="circle"/>
            <c:size val="5"/>
            <c:spPr>
              <a:solidFill>
                <a:schemeClr val="accent1"/>
              </a:solidFill>
              <a:ln w="9525">
                <a:solidFill>
                  <a:schemeClr val="accent1"/>
                </a:solidFill>
              </a:ln>
              <a:effectLst/>
            </c:spPr>
          </c:marker>
          <c:xVal>
            <c:numRef>
              <c:f>data!$AB$6:$AB$22</c:f>
              <c:numCache>
                <c:formatCode>0.0</c:formatCode>
                <c:ptCount val="17"/>
                <c:pt idx="0">
                  <c:v>8.32</c:v>
                </c:pt>
                <c:pt idx="1">
                  <c:v>9.8066666666666684</c:v>
                </c:pt>
                <c:pt idx="2">
                  <c:v>19.08666666666667</c:v>
                </c:pt>
                <c:pt idx="3">
                  <c:v>20.49</c:v>
                </c:pt>
                <c:pt idx="4">
                  <c:v>20.786666666666665</c:v>
                </c:pt>
                <c:pt idx="5">
                  <c:v>22.806666666666668</c:v>
                </c:pt>
                <c:pt idx="6">
                  <c:v>23.42</c:v>
                </c:pt>
                <c:pt idx="7">
                  <c:v>24.003333333333337</c:v>
                </c:pt>
                <c:pt idx="8">
                  <c:v>24.64</c:v>
                </c:pt>
                <c:pt idx="9">
                  <c:v>24.72</c:v>
                </c:pt>
                <c:pt idx="10">
                  <c:v>25.24</c:v>
                </c:pt>
                <c:pt idx="11">
                  <c:v>25.253333333333337</c:v>
                </c:pt>
                <c:pt idx="12">
                  <c:v>25.773333333333337</c:v>
                </c:pt>
                <c:pt idx="13">
                  <c:v>26.286666666666669</c:v>
                </c:pt>
                <c:pt idx="14">
                  <c:v>26.406666666666666</c:v>
                </c:pt>
                <c:pt idx="15">
                  <c:v>27.286666666666672</c:v>
                </c:pt>
                <c:pt idx="16">
                  <c:v>28.14</c:v>
                </c:pt>
              </c:numCache>
            </c:numRef>
          </c:xVal>
          <c:yVal>
            <c:numRef>
              <c:f>data!$AC$6:$AC$22</c:f>
              <c:numCache>
                <c:formatCode>0.0</c:formatCode>
                <c:ptCount val="17"/>
                <c:pt idx="0">
                  <c:v>0.1137532</c:v>
                </c:pt>
                <c:pt idx="1">
                  <c:v>0.13394500000000001</c:v>
                </c:pt>
                <c:pt idx="2">
                  <c:v>0.87241000000000002</c:v>
                </c:pt>
                <c:pt idx="3">
                  <c:v>1.1814749999999998</c:v>
                </c:pt>
                <c:pt idx="4">
                  <c:v>1.17832</c:v>
                </c:pt>
                <c:pt idx="5">
                  <c:v>1.6264749999999999</c:v>
                </c:pt>
                <c:pt idx="6">
                  <c:v>1.7788099999999998</c:v>
                </c:pt>
                <c:pt idx="7">
                  <c:v>1.9328979999999998</c:v>
                </c:pt>
                <c:pt idx="8">
                  <c:v>1.9913749999999999</c:v>
                </c:pt>
                <c:pt idx="9">
                  <c:v>2.0847199999999999</c:v>
                </c:pt>
                <c:pt idx="10">
                  <c:v>2.11375</c:v>
                </c:pt>
                <c:pt idx="11">
                  <c:v>2.1776259999999996</c:v>
                </c:pt>
                <c:pt idx="12">
                  <c:v>2.2917500000000004</c:v>
                </c:pt>
                <c:pt idx="13">
                  <c:v>2.4631419999999999</c:v>
                </c:pt>
                <c:pt idx="14">
                  <c:v>2.4319250000000001</c:v>
                </c:pt>
                <c:pt idx="15">
                  <c:v>2.7894459999999999</c:v>
                </c:pt>
                <c:pt idx="16">
                  <c:v>3.0438000000000001</c:v>
                </c:pt>
              </c:numCache>
            </c:numRef>
          </c:yVal>
          <c:smooth val="0"/>
          <c:extLst>
            <c:ext xmlns:c16="http://schemas.microsoft.com/office/drawing/2014/chart" uri="{C3380CC4-5D6E-409C-BE32-E72D297353CC}">
              <c16:uniqueId val="{00000000-3358-49FD-83E3-F7E760748125}"/>
            </c:ext>
          </c:extLst>
        </c:ser>
        <c:ser>
          <c:idx val="1"/>
          <c:order val="1"/>
          <c:tx>
            <c:v>110 rpm exp</c:v>
          </c:tx>
          <c:spPr>
            <a:ln w="25400" cap="rnd">
              <a:noFill/>
              <a:round/>
            </a:ln>
            <a:effectLst/>
          </c:spPr>
          <c:marker>
            <c:symbol val="circle"/>
            <c:size val="5"/>
            <c:spPr>
              <a:solidFill>
                <a:schemeClr val="accent2"/>
              </a:solidFill>
              <a:ln w="9525">
                <a:solidFill>
                  <a:schemeClr val="accent2"/>
                </a:solidFill>
              </a:ln>
              <a:effectLst/>
            </c:spPr>
          </c:marker>
          <c:xVal>
            <c:numRef>
              <c:f>data!$AD$6:$AD$23</c:f>
              <c:numCache>
                <c:formatCode>0.0</c:formatCode>
                <c:ptCount val="18"/>
                <c:pt idx="0">
                  <c:v>10.956666666666667</c:v>
                </c:pt>
                <c:pt idx="1">
                  <c:v>11.123333333333335</c:v>
                </c:pt>
                <c:pt idx="2">
                  <c:v>21.006666666666664</c:v>
                </c:pt>
                <c:pt idx="3">
                  <c:v>21.106666666666662</c:v>
                </c:pt>
                <c:pt idx="4">
                  <c:v>22.79</c:v>
                </c:pt>
                <c:pt idx="5">
                  <c:v>23.873333333333331</c:v>
                </c:pt>
                <c:pt idx="6">
                  <c:v>24.323333333333334</c:v>
                </c:pt>
                <c:pt idx="7">
                  <c:v>24.77333333333333</c:v>
                </c:pt>
                <c:pt idx="8">
                  <c:v>25.306666666666668</c:v>
                </c:pt>
                <c:pt idx="9">
                  <c:v>25.77333333333333</c:v>
                </c:pt>
                <c:pt idx="10">
                  <c:v>25.79</c:v>
                </c:pt>
                <c:pt idx="11">
                  <c:v>26.24</c:v>
                </c:pt>
                <c:pt idx="12">
                  <c:v>26.573333333333334</c:v>
                </c:pt>
                <c:pt idx="13">
                  <c:v>26.823333333333334</c:v>
                </c:pt>
                <c:pt idx="14">
                  <c:v>27.29</c:v>
                </c:pt>
                <c:pt idx="15">
                  <c:v>27.656666666666666</c:v>
                </c:pt>
                <c:pt idx="16">
                  <c:v>28.273333333333337</c:v>
                </c:pt>
                <c:pt idx="17">
                  <c:v>28.873333333333335</c:v>
                </c:pt>
              </c:numCache>
            </c:numRef>
          </c:xVal>
          <c:yVal>
            <c:numRef>
              <c:f>data!$AE$6:$AE$23</c:f>
              <c:numCache>
                <c:formatCode>0.0</c:formatCode>
                <c:ptCount val="18"/>
                <c:pt idx="0">
                  <c:v>0.1611435</c:v>
                </c:pt>
                <c:pt idx="1">
                  <c:v>0.12669495</c:v>
                </c:pt>
                <c:pt idx="2">
                  <c:v>1.2458879999999999</c:v>
                </c:pt>
                <c:pt idx="3">
                  <c:v>1.216912</c:v>
                </c:pt>
                <c:pt idx="4">
                  <c:v>1.7823119999999999</c:v>
                </c:pt>
                <c:pt idx="5">
                  <c:v>2.0721539999999998</c:v>
                </c:pt>
                <c:pt idx="6">
                  <c:v>2.089458</c:v>
                </c:pt>
                <c:pt idx="7">
                  <c:v>2.3187359999999999</c:v>
                </c:pt>
                <c:pt idx="8">
                  <c:v>2.3338769999999998</c:v>
                </c:pt>
                <c:pt idx="9">
                  <c:v>2.5566659999999999</c:v>
                </c:pt>
                <c:pt idx="10">
                  <c:v>2.2236664999999998</c:v>
                </c:pt>
                <c:pt idx="11">
                  <c:v>2.5038765000000001</c:v>
                </c:pt>
                <c:pt idx="12">
                  <c:v>2.6583269999999999</c:v>
                </c:pt>
                <c:pt idx="13">
                  <c:v>2.3977970000000002</c:v>
                </c:pt>
                <c:pt idx="14">
                  <c:v>2.5759304999999997</c:v>
                </c:pt>
                <c:pt idx="15">
                  <c:v>3.051993</c:v>
                </c:pt>
                <c:pt idx="16">
                  <c:v>3.0022500000000001</c:v>
                </c:pt>
                <c:pt idx="17">
                  <c:v>3.4746039999999998</c:v>
                </c:pt>
              </c:numCache>
            </c:numRef>
          </c:yVal>
          <c:smooth val="0"/>
          <c:extLst>
            <c:ext xmlns:c16="http://schemas.microsoft.com/office/drawing/2014/chart" uri="{C3380CC4-5D6E-409C-BE32-E72D297353CC}">
              <c16:uniqueId val="{00000001-3358-49FD-83E3-F7E760748125}"/>
            </c:ext>
          </c:extLst>
        </c:ser>
        <c:ser>
          <c:idx val="2"/>
          <c:order val="2"/>
          <c:tx>
            <c:v>140 rpm exp</c:v>
          </c:tx>
          <c:spPr>
            <a:ln w="25400" cap="rnd">
              <a:noFill/>
              <a:round/>
            </a:ln>
            <a:effectLst/>
          </c:spPr>
          <c:marker>
            <c:symbol val="circle"/>
            <c:size val="5"/>
            <c:spPr>
              <a:solidFill>
                <a:schemeClr val="accent3"/>
              </a:solidFill>
              <a:ln w="9525">
                <a:solidFill>
                  <a:schemeClr val="accent3"/>
                </a:solidFill>
              </a:ln>
              <a:effectLst/>
            </c:spPr>
          </c:marker>
          <c:xVal>
            <c:numRef>
              <c:f>data!$AF$6:$AF$18</c:f>
              <c:numCache>
                <c:formatCode>0.0</c:formatCode>
                <c:ptCount val="13"/>
                <c:pt idx="0">
                  <c:v>0</c:v>
                </c:pt>
                <c:pt idx="1">
                  <c:v>5.6</c:v>
                </c:pt>
                <c:pt idx="2">
                  <c:v>10.116666666666669</c:v>
                </c:pt>
                <c:pt idx="3">
                  <c:v>10.766666666666669</c:v>
                </c:pt>
                <c:pt idx="4">
                  <c:v>21.366666666666667</c:v>
                </c:pt>
                <c:pt idx="5">
                  <c:v>21.55</c:v>
                </c:pt>
                <c:pt idx="6">
                  <c:v>23.433333333333337</c:v>
                </c:pt>
                <c:pt idx="7">
                  <c:v>24.31666666666667</c:v>
                </c:pt>
                <c:pt idx="8">
                  <c:v>24.883333333333333</c:v>
                </c:pt>
                <c:pt idx="9">
                  <c:v>25.466666666666669</c:v>
                </c:pt>
                <c:pt idx="10">
                  <c:v>26.116666666666667</c:v>
                </c:pt>
                <c:pt idx="11">
                  <c:v>26.316666666666666</c:v>
                </c:pt>
                <c:pt idx="12">
                  <c:v>28.333333333333336</c:v>
                </c:pt>
              </c:numCache>
            </c:numRef>
          </c:xVal>
          <c:yVal>
            <c:numRef>
              <c:f>data!$AG$6:$AG$18</c:f>
              <c:numCache>
                <c:formatCode>0.0</c:formatCode>
                <c:ptCount val="13"/>
                <c:pt idx="0">
                  <c:v>1.2328700000000001E-2</c:v>
                </c:pt>
                <c:pt idx="1">
                  <c:v>3.2776300000000001E-2</c:v>
                </c:pt>
                <c:pt idx="2">
                  <c:v>0.11902500000000001</c:v>
                </c:pt>
                <c:pt idx="3">
                  <c:v>0.12584295000000001</c:v>
                </c:pt>
                <c:pt idx="4">
                  <c:v>1.6065</c:v>
                </c:pt>
                <c:pt idx="5">
                  <c:v>1.3396185</c:v>
                </c:pt>
                <c:pt idx="6">
                  <c:v>2.2882500000000001</c:v>
                </c:pt>
                <c:pt idx="7">
                  <c:v>2.5267500000000003</c:v>
                </c:pt>
                <c:pt idx="8">
                  <c:v>2.5920000000000001</c:v>
                </c:pt>
                <c:pt idx="9">
                  <c:v>2.7832499999999998</c:v>
                </c:pt>
                <c:pt idx="10">
                  <c:v>2.871</c:v>
                </c:pt>
                <c:pt idx="11">
                  <c:v>2.5679780000000001</c:v>
                </c:pt>
                <c:pt idx="12">
                  <c:v>3.7102499999999998</c:v>
                </c:pt>
              </c:numCache>
            </c:numRef>
          </c:yVal>
          <c:smooth val="0"/>
          <c:extLst>
            <c:ext xmlns:c16="http://schemas.microsoft.com/office/drawing/2014/chart" uri="{C3380CC4-5D6E-409C-BE32-E72D297353CC}">
              <c16:uniqueId val="{00000002-3358-49FD-83E3-F7E760748125}"/>
            </c:ext>
          </c:extLst>
        </c:ser>
        <c:dLbls>
          <c:showLegendKey val="0"/>
          <c:showVal val="0"/>
          <c:showCatName val="0"/>
          <c:showSerName val="0"/>
          <c:showPercent val="0"/>
          <c:showBubbleSize val="0"/>
        </c:dLbls>
        <c:axId val="142740751"/>
        <c:axId val="47074815"/>
        <c:extLst>
          <c:ext xmlns:c15="http://schemas.microsoft.com/office/drawing/2012/chart" uri="{02D57815-91ED-43cb-92C2-25804820EDAC}">
            <c15:filteredScatterSeries>
              <c15:ser>
                <c:idx val="3"/>
                <c:order val="3"/>
                <c:tx>
                  <c:v>70 rpm death</c:v>
                </c:tx>
                <c:spPr>
                  <a:ln w="25400" cap="rnd">
                    <a:no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data!$AB$24:$AB$35</c15:sqref>
                        </c15:formulaRef>
                      </c:ext>
                    </c:extLst>
                    <c:numCache>
                      <c:formatCode>0.0</c:formatCode>
                      <c:ptCount val="12"/>
                      <c:pt idx="0">
                        <c:v>21.383333333333333</c:v>
                      </c:pt>
                      <c:pt idx="1">
                        <c:v>22.81666666666667</c:v>
                      </c:pt>
                      <c:pt idx="2">
                        <c:v>25.416666666666664</c:v>
                      </c:pt>
                      <c:pt idx="3">
                        <c:v>29</c:v>
                      </c:pt>
                      <c:pt idx="4">
                        <c:v>51.666666666666664</c:v>
                      </c:pt>
                      <c:pt idx="5">
                        <c:v>55.31666666666667</c:v>
                      </c:pt>
                      <c:pt idx="6">
                        <c:v>73.650000000000006</c:v>
                      </c:pt>
                      <c:pt idx="7">
                        <c:v>78.533333333333331</c:v>
                      </c:pt>
                      <c:pt idx="8">
                        <c:v>96.55</c:v>
                      </c:pt>
                      <c:pt idx="9">
                        <c:v>103.8</c:v>
                      </c:pt>
                      <c:pt idx="10">
                        <c:v>120.03333333333333</c:v>
                      </c:pt>
                      <c:pt idx="11">
                        <c:v>143.53333333333333</c:v>
                      </c:pt>
                    </c:numCache>
                  </c:numRef>
                </c:xVal>
                <c:yVal>
                  <c:numRef>
                    <c:extLst>
                      <c:ext uri="{02D57815-91ED-43cb-92C2-25804820EDAC}">
                        <c15:formulaRef>
                          <c15:sqref>data!$AC$24:$AC$35</c15:sqref>
                        </c15:formulaRef>
                      </c:ext>
                    </c:extLst>
                    <c:numCache>
                      <c:formatCode>0.0</c:formatCode>
                      <c:ptCount val="12"/>
                      <c:pt idx="0">
                        <c:v>0.72619652289164949</c:v>
                      </c:pt>
                      <c:pt idx="1">
                        <c:v>0.90254485688629826</c:v>
                      </c:pt>
                      <c:pt idx="2">
                        <c:v>1.5049515469930015</c:v>
                      </c:pt>
                      <c:pt idx="3">
                        <c:v>2.4648327185025143</c:v>
                      </c:pt>
                      <c:pt idx="4">
                        <c:v>7.5943911109210775</c:v>
                      </c:pt>
                      <c:pt idx="5">
                        <c:v>8.2614058187893065</c:v>
                      </c:pt>
                      <c:pt idx="6">
                        <c:v>11.080313184870716</c:v>
                      </c:pt>
                      <c:pt idx="7">
                        <c:v>12.231534307395874</c:v>
                      </c:pt>
                      <c:pt idx="8">
                        <c:v>17.039839595124203</c:v>
                      </c:pt>
                      <c:pt idx="9">
                        <c:v>14.388521522475523</c:v>
                      </c:pt>
                      <c:pt idx="10">
                        <c:v>20.489355245109241</c:v>
                      </c:pt>
                      <c:pt idx="11">
                        <c:v>23.262442554014218</c:v>
                      </c:pt>
                    </c:numCache>
                  </c:numRef>
                </c:yVal>
                <c:smooth val="0"/>
                <c:extLst>
                  <c:ext xmlns:c16="http://schemas.microsoft.com/office/drawing/2014/chart" uri="{C3380CC4-5D6E-409C-BE32-E72D297353CC}">
                    <c16:uniqueId val="{00000003-3358-49FD-83E3-F7E760748125}"/>
                  </c:ext>
                </c:extLst>
              </c15:ser>
            </c15:filteredScatterSeries>
            <c15:filteredScatterSeries>
              <c15:ser>
                <c:idx val="4"/>
                <c:order val="4"/>
                <c:tx>
                  <c:v>110 rpm death</c:v>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data!$AD$24:$AD$29</c15:sqref>
                        </c15:formulaRef>
                      </c:ext>
                    </c:extLst>
                    <c:numCache>
                      <c:formatCode>0.0</c:formatCode>
                      <c:ptCount val="6"/>
                      <c:pt idx="0">
                        <c:v>26.199999999999996</c:v>
                      </c:pt>
                      <c:pt idx="1">
                        <c:v>31.5</c:v>
                      </c:pt>
                      <c:pt idx="2">
                        <c:v>45.883333333333333</c:v>
                      </c:pt>
                      <c:pt idx="3">
                        <c:v>71.566666666666663</c:v>
                      </c:pt>
                      <c:pt idx="4">
                        <c:v>101.61666666666666</c:v>
                      </c:pt>
                      <c:pt idx="5">
                        <c:v>119.95</c:v>
                      </c:pt>
                    </c:numCache>
                  </c:numRef>
                </c:xVal>
                <c:yVal>
                  <c:numRef>
                    <c:extLst xmlns:c15="http://schemas.microsoft.com/office/drawing/2012/chart">
                      <c:ext xmlns:c15="http://schemas.microsoft.com/office/drawing/2012/chart" uri="{02D57815-91ED-43cb-92C2-25804820EDAC}">
                        <c15:formulaRef>
                          <c15:sqref>data!$AE$24:$AE$29</c15:sqref>
                        </c15:formulaRef>
                      </c:ext>
                    </c:extLst>
                    <c:numCache>
                      <c:formatCode>0.0</c:formatCode>
                      <c:ptCount val="6"/>
                      <c:pt idx="0">
                        <c:v>2.0967596559514168</c:v>
                      </c:pt>
                      <c:pt idx="1">
                        <c:v>3.74212932935218</c:v>
                      </c:pt>
                      <c:pt idx="2">
                        <c:v>6.459336197412882</c:v>
                      </c:pt>
                      <c:pt idx="3">
                        <c:v>11.255385544178067</c:v>
                      </c:pt>
                      <c:pt idx="4">
                        <c:v>15.405861511174132</c:v>
                      </c:pt>
                      <c:pt idx="5">
                        <c:v>17.793357662382054</c:v>
                      </c:pt>
                    </c:numCache>
                  </c:numRef>
                </c:yVal>
                <c:smooth val="0"/>
                <c:extLst xmlns:c15="http://schemas.microsoft.com/office/drawing/2012/chart">
                  <c:ext xmlns:c16="http://schemas.microsoft.com/office/drawing/2014/chart" uri="{C3380CC4-5D6E-409C-BE32-E72D297353CC}">
                    <c16:uniqueId val="{00000004-3358-49FD-83E3-F7E760748125}"/>
                  </c:ext>
                </c:extLst>
              </c15:ser>
            </c15:filteredScatterSeries>
          </c:ext>
        </c:extLst>
      </c:scatterChart>
      <c:valAx>
        <c:axId val="1427407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815"/>
        <c:crosses val="autoZero"/>
        <c:crossBetween val="midCat"/>
      </c:valAx>
      <c:valAx>
        <c:axId val="470748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407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3"/>
          <c:order val="3"/>
          <c:tx>
            <c:v>70 rpm death</c:v>
          </c:tx>
          <c:spPr>
            <a:ln w="25400" cap="rnd">
              <a:noFill/>
              <a:round/>
            </a:ln>
            <a:effectLst/>
          </c:spPr>
          <c:marker>
            <c:symbol val="circle"/>
            <c:size val="5"/>
            <c:spPr>
              <a:solidFill>
                <a:schemeClr val="accent4"/>
              </a:solidFill>
              <a:ln w="9525">
                <a:solidFill>
                  <a:schemeClr val="accent4"/>
                </a:solidFill>
              </a:ln>
              <a:effectLst/>
            </c:spPr>
          </c:marker>
          <c:xVal>
            <c:numRef>
              <c:f>data!$AB$24:$AB$35</c:f>
              <c:numCache>
                <c:formatCode>0.0</c:formatCode>
                <c:ptCount val="12"/>
                <c:pt idx="0">
                  <c:v>21.383333333333333</c:v>
                </c:pt>
                <c:pt idx="1">
                  <c:v>22.81666666666667</c:v>
                </c:pt>
                <c:pt idx="2">
                  <c:v>25.416666666666664</c:v>
                </c:pt>
                <c:pt idx="3">
                  <c:v>29</c:v>
                </c:pt>
                <c:pt idx="4">
                  <c:v>51.666666666666664</c:v>
                </c:pt>
                <c:pt idx="5">
                  <c:v>55.31666666666667</c:v>
                </c:pt>
                <c:pt idx="6">
                  <c:v>73.650000000000006</c:v>
                </c:pt>
                <c:pt idx="7">
                  <c:v>78.533333333333331</c:v>
                </c:pt>
                <c:pt idx="8">
                  <c:v>96.55</c:v>
                </c:pt>
                <c:pt idx="9">
                  <c:v>103.8</c:v>
                </c:pt>
                <c:pt idx="10">
                  <c:v>120.03333333333333</c:v>
                </c:pt>
                <c:pt idx="11">
                  <c:v>143.53333333333333</c:v>
                </c:pt>
              </c:numCache>
              <c:extLst xmlns:c15="http://schemas.microsoft.com/office/drawing/2012/chart"/>
            </c:numRef>
          </c:xVal>
          <c:yVal>
            <c:numRef>
              <c:f>data!$AC$24:$AC$35</c:f>
              <c:numCache>
                <c:formatCode>0.0</c:formatCode>
                <c:ptCount val="12"/>
                <c:pt idx="0">
                  <c:v>0.72619652289164949</c:v>
                </c:pt>
                <c:pt idx="1">
                  <c:v>0.90254485688629826</c:v>
                </c:pt>
                <c:pt idx="2">
                  <c:v>1.5049515469930015</c:v>
                </c:pt>
                <c:pt idx="3">
                  <c:v>2.4648327185025143</c:v>
                </c:pt>
                <c:pt idx="4">
                  <c:v>7.5943911109210775</c:v>
                </c:pt>
                <c:pt idx="5">
                  <c:v>8.2614058187893065</c:v>
                </c:pt>
                <c:pt idx="6">
                  <c:v>11.080313184870716</c:v>
                </c:pt>
                <c:pt idx="7">
                  <c:v>12.231534307395874</c:v>
                </c:pt>
                <c:pt idx="8">
                  <c:v>17.039839595124203</c:v>
                </c:pt>
                <c:pt idx="9">
                  <c:v>14.388521522475523</c:v>
                </c:pt>
                <c:pt idx="10">
                  <c:v>20.489355245109241</c:v>
                </c:pt>
                <c:pt idx="11">
                  <c:v>23.262442554014218</c:v>
                </c:pt>
              </c:numCache>
              <c:extLst xmlns:c15="http://schemas.microsoft.com/office/drawing/2012/chart"/>
            </c:numRef>
          </c:yVal>
          <c:smooth val="0"/>
          <c:extLst>
            <c:ext xmlns:c16="http://schemas.microsoft.com/office/drawing/2014/chart" uri="{C3380CC4-5D6E-409C-BE32-E72D297353CC}">
              <c16:uniqueId val="{00000003-761B-4C27-85D0-910011291ECB}"/>
            </c:ext>
          </c:extLst>
        </c:ser>
        <c:ser>
          <c:idx val="4"/>
          <c:order val="4"/>
          <c:tx>
            <c:v>110 rpm death</c:v>
          </c:tx>
          <c:spPr>
            <a:ln w="25400" cap="rnd">
              <a:noFill/>
              <a:round/>
            </a:ln>
            <a:effectLst/>
          </c:spPr>
          <c:marker>
            <c:symbol val="circle"/>
            <c:size val="5"/>
            <c:spPr>
              <a:solidFill>
                <a:schemeClr val="accent5"/>
              </a:solidFill>
              <a:ln w="9525">
                <a:solidFill>
                  <a:schemeClr val="accent5"/>
                </a:solidFill>
              </a:ln>
              <a:effectLst/>
            </c:spPr>
          </c:marker>
          <c:xVal>
            <c:numRef>
              <c:f>data!$AD$24:$AD$29</c:f>
              <c:numCache>
                <c:formatCode>0.0</c:formatCode>
                <c:ptCount val="6"/>
                <c:pt idx="0">
                  <c:v>26.199999999999996</c:v>
                </c:pt>
                <c:pt idx="1">
                  <c:v>31.5</c:v>
                </c:pt>
                <c:pt idx="2">
                  <c:v>45.883333333333333</c:v>
                </c:pt>
                <c:pt idx="3">
                  <c:v>71.566666666666663</c:v>
                </c:pt>
                <c:pt idx="4">
                  <c:v>101.61666666666666</c:v>
                </c:pt>
                <c:pt idx="5">
                  <c:v>119.95</c:v>
                </c:pt>
              </c:numCache>
              <c:extLst xmlns:c15="http://schemas.microsoft.com/office/drawing/2012/chart"/>
            </c:numRef>
          </c:xVal>
          <c:yVal>
            <c:numRef>
              <c:f>data!$AE$24:$AE$29</c:f>
              <c:numCache>
                <c:formatCode>0.0</c:formatCode>
                <c:ptCount val="6"/>
                <c:pt idx="0">
                  <c:v>2.0967596559514168</c:v>
                </c:pt>
                <c:pt idx="1">
                  <c:v>3.74212932935218</c:v>
                </c:pt>
                <c:pt idx="2">
                  <c:v>6.459336197412882</c:v>
                </c:pt>
                <c:pt idx="3">
                  <c:v>11.255385544178067</c:v>
                </c:pt>
                <c:pt idx="4">
                  <c:v>15.405861511174132</c:v>
                </c:pt>
                <c:pt idx="5">
                  <c:v>17.793357662382054</c:v>
                </c:pt>
              </c:numCache>
              <c:extLst xmlns:c15="http://schemas.microsoft.com/office/drawing/2012/chart"/>
            </c:numRef>
          </c:yVal>
          <c:smooth val="0"/>
          <c:extLst>
            <c:ext xmlns:c16="http://schemas.microsoft.com/office/drawing/2014/chart" uri="{C3380CC4-5D6E-409C-BE32-E72D297353CC}">
              <c16:uniqueId val="{00000004-761B-4C27-85D0-910011291ECB}"/>
            </c:ext>
          </c:extLst>
        </c:ser>
        <c:dLbls>
          <c:showLegendKey val="0"/>
          <c:showVal val="0"/>
          <c:showCatName val="0"/>
          <c:showSerName val="0"/>
          <c:showPercent val="0"/>
          <c:showBubbleSize val="0"/>
        </c:dLbls>
        <c:axId val="142740751"/>
        <c:axId val="47074815"/>
        <c:extLst>
          <c:ext xmlns:c15="http://schemas.microsoft.com/office/drawing/2012/chart" uri="{02D57815-91ED-43cb-92C2-25804820EDAC}">
            <c15:filteredScatterSeries>
              <c15:ser>
                <c:idx val="0"/>
                <c:order val="0"/>
                <c:tx>
                  <c:v>70 rpm exp</c:v>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data!$AB$6:$AB$22</c15:sqref>
                        </c15:formulaRef>
                      </c:ext>
                    </c:extLst>
                    <c:numCache>
                      <c:formatCode>0.0</c:formatCode>
                      <c:ptCount val="17"/>
                      <c:pt idx="0">
                        <c:v>8.32</c:v>
                      </c:pt>
                      <c:pt idx="1">
                        <c:v>9.8066666666666684</c:v>
                      </c:pt>
                      <c:pt idx="2">
                        <c:v>19.08666666666667</c:v>
                      </c:pt>
                      <c:pt idx="3">
                        <c:v>20.49</c:v>
                      </c:pt>
                      <c:pt idx="4">
                        <c:v>20.786666666666665</c:v>
                      </c:pt>
                      <c:pt idx="5">
                        <c:v>22.806666666666668</c:v>
                      </c:pt>
                      <c:pt idx="6">
                        <c:v>23.42</c:v>
                      </c:pt>
                      <c:pt idx="7">
                        <c:v>24.003333333333337</c:v>
                      </c:pt>
                      <c:pt idx="8">
                        <c:v>24.64</c:v>
                      </c:pt>
                      <c:pt idx="9">
                        <c:v>24.72</c:v>
                      </c:pt>
                      <c:pt idx="10">
                        <c:v>25.24</c:v>
                      </c:pt>
                      <c:pt idx="11">
                        <c:v>25.253333333333337</c:v>
                      </c:pt>
                      <c:pt idx="12">
                        <c:v>25.773333333333337</c:v>
                      </c:pt>
                      <c:pt idx="13">
                        <c:v>26.286666666666669</c:v>
                      </c:pt>
                      <c:pt idx="14">
                        <c:v>26.406666666666666</c:v>
                      </c:pt>
                      <c:pt idx="15">
                        <c:v>27.286666666666672</c:v>
                      </c:pt>
                      <c:pt idx="16">
                        <c:v>28.14</c:v>
                      </c:pt>
                    </c:numCache>
                  </c:numRef>
                </c:xVal>
                <c:yVal>
                  <c:numRef>
                    <c:extLst>
                      <c:ext uri="{02D57815-91ED-43cb-92C2-25804820EDAC}">
                        <c15:formulaRef>
                          <c15:sqref>data!$AC$6:$AC$22</c15:sqref>
                        </c15:formulaRef>
                      </c:ext>
                    </c:extLst>
                    <c:numCache>
                      <c:formatCode>0.0</c:formatCode>
                      <c:ptCount val="17"/>
                      <c:pt idx="0">
                        <c:v>0.1137532</c:v>
                      </c:pt>
                      <c:pt idx="1">
                        <c:v>0.13394500000000001</c:v>
                      </c:pt>
                      <c:pt idx="2">
                        <c:v>0.87241000000000002</c:v>
                      </c:pt>
                      <c:pt idx="3">
                        <c:v>1.1814749999999998</c:v>
                      </c:pt>
                      <c:pt idx="4">
                        <c:v>1.17832</c:v>
                      </c:pt>
                      <c:pt idx="5">
                        <c:v>1.6264749999999999</c:v>
                      </c:pt>
                      <c:pt idx="6">
                        <c:v>1.7788099999999998</c:v>
                      </c:pt>
                      <c:pt idx="7">
                        <c:v>1.9328979999999998</c:v>
                      </c:pt>
                      <c:pt idx="8">
                        <c:v>1.9913749999999999</c:v>
                      </c:pt>
                      <c:pt idx="9">
                        <c:v>2.0847199999999999</c:v>
                      </c:pt>
                      <c:pt idx="10">
                        <c:v>2.11375</c:v>
                      </c:pt>
                      <c:pt idx="11">
                        <c:v>2.1776259999999996</c:v>
                      </c:pt>
                      <c:pt idx="12">
                        <c:v>2.2917500000000004</c:v>
                      </c:pt>
                      <c:pt idx="13">
                        <c:v>2.4631419999999999</c:v>
                      </c:pt>
                      <c:pt idx="14">
                        <c:v>2.4319250000000001</c:v>
                      </c:pt>
                      <c:pt idx="15">
                        <c:v>2.7894459999999999</c:v>
                      </c:pt>
                      <c:pt idx="16">
                        <c:v>3.0438000000000001</c:v>
                      </c:pt>
                    </c:numCache>
                  </c:numRef>
                </c:yVal>
                <c:smooth val="0"/>
                <c:extLst>
                  <c:ext xmlns:c16="http://schemas.microsoft.com/office/drawing/2014/chart" uri="{C3380CC4-5D6E-409C-BE32-E72D297353CC}">
                    <c16:uniqueId val="{00000000-761B-4C27-85D0-910011291ECB}"/>
                  </c:ext>
                </c:extLst>
              </c15:ser>
            </c15:filteredScatterSeries>
            <c15:filteredScatterSeries>
              <c15:ser>
                <c:idx val="1"/>
                <c:order val="1"/>
                <c:tx>
                  <c:v>110 rpm exp</c:v>
                </c:tx>
                <c:spPr>
                  <a:ln w="254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data!$AD$6:$AD$23</c15:sqref>
                        </c15:formulaRef>
                      </c:ext>
                    </c:extLst>
                    <c:numCache>
                      <c:formatCode>0.0</c:formatCode>
                      <c:ptCount val="18"/>
                      <c:pt idx="0">
                        <c:v>10.956666666666667</c:v>
                      </c:pt>
                      <c:pt idx="1">
                        <c:v>11.123333333333335</c:v>
                      </c:pt>
                      <c:pt idx="2">
                        <c:v>21.006666666666664</c:v>
                      </c:pt>
                      <c:pt idx="3">
                        <c:v>21.106666666666662</c:v>
                      </c:pt>
                      <c:pt idx="4">
                        <c:v>22.79</c:v>
                      </c:pt>
                      <c:pt idx="5">
                        <c:v>23.873333333333331</c:v>
                      </c:pt>
                      <c:pt idx="6">
                        <c:v>24.323333333333334</c:v>
                      </c:pt>
                      <c:pt idx="7">
                        <c:v>24.77333333333333</c:v>
                      </c:pt>
                      <c:pt idx="8">
                        <c:v>25.306666666666668</c:v>
                      </c:pt>
                      <c:pt idx="9">
                        <c:v>25.77333333333333</c:v>
                      </c:pt>
                      <c:pt idx="10">
                        <c:v>25.79</c:v>
                      </c:pt>
                      <c:pt idx="11">
                        <c:v>26.24</c:v>
                      </c:pt>
                      <c:pt idx="12">
                        <c:v>26.573333333333334</c:v>
                      </c:pt>
                      <c:pt idx="13">
                        <c:v>26.823333333333334</c:v>
                      </c:pt>
                      <c:pt idx="14">
                        <c:v>27.29</c:v>
                      </c:pt>
                      <c:pt idx="15">
                        <c:v>27.656666666666666</c:v>
                      </c:pt>
                      <c:pt idx="16">
                        <c:v>28.273333333333337</c:v>
                      </c:pt>
                      <c:pt idx="17">
                        <c:v>28.873333333333335</c:v>
                      </c:pt>
                    </c:numCache>
                  </c:numRef>
                </c:xVal>
                <c:yVal>
                  <c:numRef>
                    <c:extLst xmlns:c15="http://schemas.microsoft.com/office/drawing/2012/chart">
                      <c:ext xmlns:c15="http://schemas.microsoft.com/office/drawing/2012/chart" uri="{02D57815-91ED-43cb-92C2-25804820EDAC}">
                        <c15:formulaRef>
                          <c15:sqref>data!$AE$6:$AE$23</c15:sqref>
                        </c15:formulaRef>
                      </c:ext>
                    </c:extLst>
                    <c:numCache>
                      <c:formatCode>0.0</c:formatCode>
                      <c:ptCount val="18"/>
                      <c:pt idx="0">
                        <c:v>0.1611435</c:v>
                      </c:pt>
                      <c:pt idx="1">
                        <c:v>0.12669495</c:v>
                      </c:pt>
                      <c:pt idx="2">
                        <c:v>1.2458879999999999</c:v>
                      </c:pt>
                      <c:pt idx="3">
                        <c:v>1.216912</c:v>
                      </c:pt>
                      <c:pt idx="4">
                        <c:v>1.7823119999999999</c:v>
                      </c:pt>
                      <c:pt idx="5">
                        <c:v>2.0721539999999998</c:v>
                      </c:pt>
                      <c:pt idx="6">
                        <c:v>2.089458</c:v>
                      </c:pt>
                      <c:pt idx="7">
                        <c:v>2.3187359999999999</c:v>
                      </c:pt>
                      <c:pt idx="8">
                        <c:v>2.3338769999999998</c:v>
                      </c:pt>
                      <c:pt idx="9">
                        <c:v>2.5566659999999999</c:v>
                      </c:pt>
                      <c:pt idx="10">
                        <c:v>2.2236664999999998</c:v>
                      </c:pt>
                      <c:pt idx="11">
                        <c:v>2.5038765000000001</c:v>
                      </c:pt>
                      <c:pt idx="12">
                        <c:v>2.6583269999999999</c:v>
                      </c:pt>
                      <c:pt idx="13">
                        <c:v>2.3977970000000002</c:v>
                      </c:pt>
                      <c:pt idx="14">
                        <c:v>2.5759304999999997</c:v>
                      </c:pt>
                      <c:pt idx="15">
                        <c:v>3.051993</c:v>
                      </c:pt>
                      <c:pt idx="16">
                        <c:v>3.0022500000000001</c:v>
                      </c:pt>
                      <c:pt idx="17">
                        <c:v>3.4746039999999998</c:v>
                      </c:pt>
                    </c:numCache>
                  </c:numRef>
                </c:yVal>
                <c:smooth val="0"/>
                <c:extLst xmlns:c15="http://schemas.microsoft.com/office/drawing/2012/chart">
                  <c:ext xmlns:c16="http://schemas.microsoft.com/office/drawing/2014/chart" uri="{C3380CC4-5D6E-409C-BE32-E72D297353CC}">
                    <c16:uniqueId val="{00000001-761B-4C27-85D0-910011291ECB}"/>
                  </c:ext>
                </c:extLst>
              </c15:ser>
            </c15:filteredScatterSeries>
            <c15:filteredScatterSeries>
              <c15:ser>
                <c:idx val="2"/>
                <c:order val="2"/>
                <c:tx>
                  <c:v>140 rpm exp</c:v>
                </c:tx>
                <c:spPr>
                  <a:ln w="254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data!$AF$6:$AF$18</c15:sqref>
                        </c15:formulaRef>
                      </c:ext>
                    </c:extLst>
                    <c:numCache>
                      <c:formatCode>0.0</c:formatCode>
                      <c:ptCount val="13"/>
                      <c:pt idx="0">
                        <c:v>0</c:v>
                      </c:pt>
                      <c:pt idx="1">
                        <c:v>5.6</c:v>
                      </c:pt>
                      <c:pt idx="2">
                        <c:v>10.116666666666669</c:v>
                      </c:pt>
                      <c:pt idx="3">
                        <c:v>10.766666666666669</c:v>
                      </c:pt>
                      <c:pt idx="4">
                        <c:v>21.366666666666667</c:v>
                      </c:pt>
                      <c:pt idx="5">
                        <c:v>21.55</c:v>
                      </c:pt>
                      <c:pt idx="6">
                        <c:v>23.433333333333337</c:v>
                      </c:pt>
                      <c:pt idx="7">
                        <c:v>24.31666666666667</c:v>
                      </c:pt>
                      <c:pt idx="8">
                        <c:v>24.883333333333333</c:v>
                      </c:pt>
                      <c:pt idx="9">
                        <c:v>25.466666666666669</c:v>
                      </c:pt>
                      <c:pt idx="10">
                        <c:v>26.116666666666667</c:v>
                      </c:pt>
                      <c:pt idx="11">
                        <c:v>26.316666666666666</c:v>
                      </c:pt>
                      <c:pt idx="12">
                        <c:v>28.333333333333336</c:v>
                      </c:pt>
                    </c:numCache>
                  </c:numRef>
                </c:xVal>
                <c:yVal>
                  <c:numRef>
                    <c:extLst xmlns:c15="http://schemas.microsoft.com/office/drawing/2012/chart">
                      <c:ext xmlns:c15="http://schemas.microsoft.com/office/drawing/2012/chart" uri="{02D57815-91ED-43cb-92C2-25804820EDAC}">
                        <c15:formulaRef>
                          <c15:sqref>data!$AG$6:$AG$18</c15:sqref>
                        </c15:formulaRef>
                      </c:ext>
                    </c:extLst>
                    <c:numCache>
                      <c:formatCode>0.0</c:formatCode>
                      <c:ptCount val="13"/>
                      <c:pt idx="0">
                        <c:v>1.2328700000000001E-2</c:v>
                      </c:pt>
                      <c:pt idx="1">
                        <c:v>3.2776300000000001E-2</c:v>
                      </c:pt>
                      <c:pt idx="2">
                        <c:v>0.11902500000000001</c:v>
                      </c:pt>
                      <c:pt idx="3">
                        <c:v>0.12584295000000001</c:v>
                      </c:pt>
                      <c:pt idx="4">
                        <c:v>1.6065</c:v>
                      </c:pt>
                      <c:pt idx="5">
                        <c:v>1.3396185</c:v>
                      </c:pt>
                      <c:pt idx="6">
                        <c:v>2.2882500000000001</c:v>
                      </c:pt>
                      <c:pt idx="7">
                        <c:v>2.5267500000000003</c:v>
                      </c:pt>
                      <c:pt idx="8">
                        <c:v>2.5920000000000001</c:v>
                      </c:pt>
                      <c:pt idx="9">
                        <c:v>2.7832499999999998</c:v>
                      </c:pt>
                      <c:pt idx="10">
                        <c:v>2.871</c:v>
                      </c:pt>
                      <c:pt idx="11">
                        <c:v>2.5679780000000001</c:v>
                      </c:pt>
                      <c:pt idx="12">
                        <c:v>3.7102499999999998</c:v>
                      </c:pt>
                    </c:numCache>
                  </c:numRef>
                </c:yVal>
                <c:smooth val="0"/>
                <c:extLst xmlns:c15="http://schemas.microsoft.com/office/drawing/2012/chart">
                  <c:ext xmlns:c16="http://schemas.microsoft.com/office/drawing/2014/chart" uri="{C3380CC4-5D6E-409C-BE32-E72D297353CC}">
                    <c16:uniqueId val="{00000002-761B-4C27-85D0-910011291ECB}"/>
                  </c:ext>
                </c:extLst>
              </c15:ser>
            </c15:filteredScatterSeries>
          </c:ext>
        </c:extLst>
      </c:scatterChart>
      <c:valAx>
        <c:axId val="1427407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815"/>
        <c:crosses val="autoZero"/>
        <c:crossBetween val="midCat"/>
      </c:valAx>
      <c:valAx>
        <c:axId val="470748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407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all data for</a:t>
            </a:r>
            <a:r>
              <a:rPr lang="en-US" baseline="0"/>
              <a:t> chlorella sorokiniana</a:t>
            </a:r>
            <a:endParaRPr lang="en-US"/>
          </a:p>
        </c:rich>
      </c:tx>
      <c:layout>
        <c:manualLayout>
          <c:xMode val="edge"/>
          <c:yMode val="edge"/>
          <c:x val="0.48702961152320579"/>
          <c:y val="2.892974567720302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708915591767601E-2"/>
          <c:y val="9.5468760190751692E-2"/>
          <c:w val="0.85540529308836399"/>
          <c:h val="0.8416746864975212"/>
        </c:manualLayout>
      </c:layout>
      <c:scatterChart>
        <c:scatterStyle val="lineMarker"/>
        <c:varyColors val="0"/>
        <c:ser>
          <c:idx val="0"/>
          <c:order val="0"/>
          <c:tx>
            <c:v>70 rpm exp</c:v>
          </c:tx>
          <c:spPr>
            <a:ln w="25400" cap="rnd">
              <a:noFill/>
              <a:round/>
            </a:ln>
            <a:effectLst/>
          </c:spPr>
          <c:marker>
            <c:symbol val="diamond"/>
            <c:size val="6"/>
            <c:spPr>
              <a:solidFill>
                <a:schemeClr val="accent2"/>
              </a:solidFill>
              <a:ln w="9525">
                <a:solidFill>
                  <a:schemeClr val="accent2"/>
                </a:solidFill>
                <a:round/>
              </a:ln>
              <a:effectLst/>
            </c:spPr>
          </c:marker>
          <c:xVal>
            <c:numRef>
              <c:f>data!$AB$6:$AB$22</c:f>
              <c:numCache>
                <c:formatCode>0.0</c:formatCode>
                <c:ptCount val="17"/>
                <c:pt idx="0">
                  <c:v>8.32</c:v>
                </c:pt>
                <c:pt idx="1">
                  <c:v>9.8066666666666684</c:v>
                </c:pt>
                <c:pt idx="2">
                  <c:v>19.08666666666667</c:v>
                </c:pt>
                <c:pt idx="3">
                  <c:v>20.49</c:v>
                </c:pt>
                <c:pt idx="4">
                  <c:v>20.786666666666665</c:v>
                </c:pt>
                <c:pt idx="5">
                  <c:v>22.806666666666668</c:v>
                </c:pt>
                <c:pt idx="6">
                  <c:v>23.42</c:v>
                </c:pt>
                <c:pt idx="7">
                  <c:v>24.003333333333337</c:v>
                </c:pt>
                <c:pt idx="8">
                  <c:v>24.64</c:v>
                </c:pt>
                <c:pt idx="9">
                  <c:v>24.72</c:v>
                </c:pt>
                <c:pt idx="10">
                  <c:v>25.24</c:v>
                </c:pt>
                <c:pt idx="11">
                  <c:v>25.253333333333337</c:v>
                </c:pt>
                <c:pt idx="12">
                  <c:v>25.773333333333337</c:v>
                </c:pt>
                <c:pt idx="13">
                  <c:v>26.286666666666669</c:v>
                </c:pt>
                <c:pt idx="14">
                  <c:v>26.406666666666666</c:v>
                </c:pt>
                <c:pt idx="15">
                  <c:v>27.286666666666672</c:v>
                </c:pt>
                <c:pt idx="16">
                  <c:v>28.14</c:v>
                </c:pt>
              </c:numCache>
            </c:numRef>
          </c:xVal>
          <c:yVal>
            <c:numRef>
              <c:f>data!$AC$6:$AC$22</c:f>
              <c:numCache>
                <c:formatCode>0.0</c:formatCode>
                <c:ptCount val="17"/>
                <c:pt idx="0">
                  <c:v>0.1137532</c:v>
                </c:pt>
                <c:pt idx="1">
                  <c:v>0.13394500000000001</c:v>
                </c:pt>
                <c:pt idx="2">
                  <c:v>0.87241000000000002</c:v>
                </c:pt>
                <c:pt idx="3">
                  <c:v>1.1814749999999998</c:v>
                </c:pt>
                <c:pt idx="4">
                  <c:v>1.17832</c:v>
                </c:pt>
                <c:pt idx="5">
                  <c:v>1.6264749999999999</c:v>
                </c:pt>
                <c:pt idx="6">
                  <c:v>1.7788099999999998</c:v>
                </c:pt>
                <c:pt idx="7">
                  <c:v>1.9328979999999998</c:v>
                </c:pt>
                <c:pt idx="8">
                  <c:v>1.9913749999999999</c:v>
                </c:pt>
                <c:pt idx="9">
                  <c:v>2.0847199999999999</c:v>
                </c:pt>
                <c:pt idx="10">
                  <c:v>2.11375</c:v>
                </c:pt>
                <c:pt idx="11">
                  <c:v>2.1776259999999996</c:v>
                </c:pt>
                <c:pt idx="12">
                  <c:v>2.2917500000000004</c:v>
                </c:pt>
                <c:pt idx="13">
                  <c:v>2.4631419999999999</c:v>
                </c:pt>
                <c:pt idx="14">
                  <c:v>2.4319250000000001</c:v>
                </c:pt>
                <c:pt idx="15">
                  <c:v>2.7894459999999999</c:v>
                </c:pt>
                <c:pt idx="16">
                  <c:v>3.0438000000000001</c:v>
                </c:pt>
              </c:numCache>
            </c:numRef>
          </c:yVal>
          <c:smooth val="0"/>
          <c:extLst>
            <c:ext xmlns:c16="http://schemas.microsoft.com/office/drawing/2014/chart" uri="{C3380CC4-5D6E-409C-BE32-E72D297353CC}">
              <c16:uniqueId val="{00000000-E662-49B7-B730-D8863FD14ED0}"/>
            </c:ext>
          </c:extLst>
        </c:ser>
        <c:ser>
          <c:idx val="1"/>
          <c:order val="1"/>
          <c:tx>
            <c:v>70 rpm death</c:v>
          </c:tx>
          <c:spPr>
            <a:ln w="25400" cap="rnd">
              <a:noFill/>
              <a:round/>
            </a:ln>
            <a:effectLst/>
          </c:spPr>
          <c:marker>
            <c:symbol val="square"/>
            <c:size val="6"/>
            <c:spPr>
              <a:solidFill>
                <a:schemeClr val="accent4"/>
              </a:solidFill>
              <a:ln w="9525">
                <a:solidFill>
                  <a:schemeClr val="accent4"/>
                </a:solidFill>
                <a:round/>
              </a:ln>
              <a:effectLst/>
            </c:spPr>
          </c:marker>
          <c:xVal>
            <c:numRef>
              <c:f>data!$AB$24:$AB$35</c:f>
              <c:numCache>
                <c:formatCode>0.0</c:formatCode>
                <c:ptCount val="12"/>
                <c:pt idx="0">
                  <c:v>21.383333333333333</c:v>
                </c:pt>
                <c:pt idx="1">
                  <c:v>22.81666666666667</c:v>
                </c:pt>
                <c:pt idx="2">
                  <c:v>25.416666666666664</c:v>
                </c:pt>
                <c:pt idx="3">
                  <c:v>29</c:v>
                </c:pt>
                <c:pt idx="4">
                  <c:v>51.666666666666664</c:v>
                </c:pt>
                <c:pt idx="5">
                  <c:v>55.31666666666667</c:v>
                </c:pt>
                <c:pt idx="6">
                  <c:v>73.650000000000006</c:v>
                </c:pt>
                <c:pt idx="7">
                  <c:v>78.533333333333331</c:v>
                </c:pt>
                <c:pt idx="8">
                  <c:v>96.55</c:v>
                </c:pt>
                <c:pt idx="9">
                  <c:v>103.8</c:v>
                </c:pt>
                <c:pt idx="10">
                  <c:v>120.03333333333333</c:v>
                </c:pt>
                <c:pt idx="11">
                  <c:v>143.53333333333333</c:v>
                </c:pt>
              </c:numCache>
            </c:numRef>
          </c:xVal>
          <c:yVal>
            <c:numRef>
              <c:f>data!$AC$24:$AC$35</c:f>
              <c:numCache>
                <c:formatCode>0.0</c:formatCode>
                <c:ptCount val="12"/>
                <c:pt idx="0">
                  <c:v>0.72619652289164949</c:v>
                </c:pt>
                <c:pt idx="1">
                  <c:v>0.90254485688629826</c:v>
                </c:pt>
                <c:pt idx="2">
                  <c:v>1.5049515469930015</c:v>
                </c:pt>
                <c:pt idx="3">
                  <c:v>2.4648327185025143</c:v>
                </c:pt>
                <c:pt idx="4">
                  <c:v>7.5943911109210775</c:v>
                </c:pt>
                <c:pt idx="5">
                  <c:v>8.2614058187893065</c:v>
                </c:pt>
                <c:pt idx="6">
                  <c:v>11.080313184870716</c:v>
                </c:pt>
                <c:pt idx="7">
                  <c:v>12.231534307395874</c:v>
                </c:pt>
                <c:pt idx="8">
                  <c:v>17.039839595124203</c:v>
                </c:pt>
                <c:pt idx="9">
                  <c:v>14.388521522475523</c:v>
                </c:pt>
                <c:pt idx="10">
                  <c:v>20.489355245109241</c:v>
                </c:pt>
                <c:pt idx="11">
                  <c:v>23.262442554014218</c:v>
                </c:pt>
              </c:numCache>
            </c:numRef>
          </c:yVal>
          <c:smooth val="0"/>
          <c:extLst>
            <c:ext xmlns:c16="http://schemas.microsoft.com/office/drawing/2014/chart" uri="{C3380CC4-5D6E-409C-BE32-E72D297353CC}">
              <c16:uniqueId val="{00000001-E662-49B7-B730-D8863FD14ED0}"/>
            </c:ext>
          </c:extLst>
        </c:ser>
        <c:ser>
          <c:idx val="2"/>
          <c:order val="2"/>
          <c:tx>
            <c:v>Pond reactor M8a</c:v>
          </c:tx>
          <c:spPr>
            <a:ln w="25400" cap="rnd">
              <a:noFill/>
              <a:round/>
            </a:ln>
            <a:effectLst/>
          </c:spPr>
          <c:marker>
            <c:symbol val="triangle"/>
            <c:size val="6"/>
            <c:spPr>
              <a:solidFill>
                <a:schemeClr val="accent6"/>
              </a:solidFill>
              <a:ln w="9525">
                <a:solidFill>
                  <a:schemeClr val="accent6"/>
                </a:solidFill>
                <a:round/>
              </a:ln>
              <a:effectLst/>
            </c:spPr>
          </c:marker>
          <c:xVal>
            <c:numRef>
              <c:f>data!$Z$36:$Z$55</c:f>
              <c:numCache>
                <c:formatCode>0.0</c:formatCode>
                <c:ptCount val="20"/>
                <c:pt idx="0">
                  <c:v>0</c:v>
                </c:pt>
                <c:pt idx="1">
                  <c:v>18.500000000000014</c:v>
                </c:pt>
                <c:pt idx="2">
                  <c:v>18.516666666666652</c:v>
                </c:pt>
                <c:pt idx="3">
                  <c:v>23.166666666666686</c:v>
                </c:pt>
                <c:pt idx="4">
                  <c:v>42.166666666666671</c:v>
                </c:pt>
                <c:pt idx="5">
                  <c:v>42.166666666666671</c:v>
                </c:pt>
                <c:pt idx="6">
                  <c:v>45.9166666666667</c:v>
                </c:pt>
                <c:pt idx="7">
                  <c:v>45.9166666666667</c:v>
                </c:pt>
                <c:pt idx="8">
                  <c:v>111.16666666666667</c:v>
                </c:pt>
                <c:pt idx="9">
                  <c:v>111.16666666666667</c:v>
                </c:pt>
                <c:pt idx="10">
                  <c:v>117.91666666666667</c:v>
                </c:pt>
                <c:pt idx="11">
                  <c:v>134.91666666666669</c:v>
                </c:pt>
                <c:pt idx="12">
                  <c:v>134.91666666666669</c:v>
                </c:pt>
                <c:pt idx="13">
                  <c:v>140.41666666666669</c:v>
                </c:pt>
                <c:pt idx="14">
                  <c:v>160</c:v>
                </c:pt>
                <c:pt idx="15">
                  <c:v>166.00000000000003</c:v>
                </c:pt>
                <c:pt idx="16">
                  <c:v>185.50000000000003</c:v>
                </c:pt>
                <c:pt idx="17">
                  <c:v>190.00000000000003</c:v>
                </c:pt>
                <c:pt idx="18">
                  <c:v>208.24999999999997</c:v>
                </c:pt>
                <c:pt idx="19">
                  <c:v>208.24999999999997</c:v>
                </c:pt>
              </c:numCache>
            </c:numRef>
          </c:xVal>
          <c:yVal>
            <c:numRef>
              <c:f>data!$AA$36:$AA$55</c:f>
              <c:numCache>
                <c:formatCode>0.00</c:formatCode>
                <c:ptCount val="20"/>
                <c:pt idx="0">
                  <c:v>5.0600000000000003E-3</c:v>
                </c:pt>
                <c:pt idx="1">
                  <c:v>0.1628</c:v>
                </c:pt>
                <c:pt idx="2">
                  <c:v>0.15751999999999999</c:v>
                </c:pt>
                <c:pt idx="3">
                  <c:v>0.20019999999999999</c:v>
                </c:pt>
                <c:pt idx="4">
                  <c:v>0.34649999999999997</c:v>
                </c:pt>
                <c:pt idx="5">
                  <c:v>0.34320000000000001</c:v>
                </c:pt>
                <c:pt idx="6">
                  <c:v>0.39159999999999995</c:v>
                </c:pt>
                <c:pt idx="7">
                  <c:v>0.37949999999999995</c:v>
                </c:pt>
                <c:pt idx="8">
                  <c:v>0.75679999999999992</c:v>
                </c:pt>
                <c:pt idx="9">
                  <c:v>0.7831999999999999</c:v>
                </c:pt>
                <c:pt idx="10">
                  <c:v>0.8448</c:v>
                </c:pt>
                <c:pt idx="11">
                  <c:v>0.88880000000000003</c:v>
                </c:pt>
                <c:pt idx="12">
                  <c:v>0.93280000000000007</c:v>
                </c:pt>
                <c:pt idx="13">
                  <c:v>0.97240000000000004</c:v>
                </c:pt>
                <c:pt idx="14">
                  <c:v>1.0208000000000002</c:v>
                </c:pt>
                <c:pt idx="15">
                  <c:v>1.0427999999999999</c:v>
                </c:pt>
                <c:pt idx="16">
                  <c:v>1.1088</c:v>
                </c:pt>
                <c:pt idx="17">
                  <c:v>1.1175999999999999</c:v>
                </c:pt>
                <c:pt idx="18">
                  <c:v>1.0471999999999999</c:v>
                </c:pt>
                <c:pt idx="19">
                  <c:v>0.99219999999999997</c:v>
                </c:pt>
              </c:numCache>
            </c:numRef>
          </c:yVal>
          <c:smooth val="0"/>
          <c:extLst>
            <c:ext xmlns:c16="http://schemas.microsoft.com/office/drawing/2014/chart" uri="{C3380CC4-5D6E-409C-BE32-E72D297353CC}">
              <c16:uniqueId val="{00000000-91C2-4DDC-8EBB-95BA37A2B9C5}"/>
            </c:ext>
          </c:extLst>
        </c:ser>
        <c:ser>
          <c:idx val="3"/>
          <c:order val="3"/>
          <c:tx>
            <c:v>Pond reactor wastewater</c:v>
          </c:tx>
          <c:spPr>
            <a:ln w="25400" cap="rnd">
              <a:noFill/>
              <a:round/>
            </a:ln>
            <a:effectLst/>
          </c:spPr>
          <c:marker>
            <c:symbol val="x"/>
            <c:size val="6"/>
            <c:spPr>
              <a:solidFill>
                <a:schemeClr val="accent6">
                  <a:lumMod val="40000"/>
                  <a:lumOff val="60000"/>
                </a:schemeClr>
              </a:solidFill>
              <a:ln w="9525">
                <a:solidFill>
                  <a:schemeClr val="accent2">
                    <a:lumMod val="60000"/>
                  </a:schemeClr>
                </a:solidFill>
                <a:round/>
              </a:ln>
              <a:effectLst/>
            </c:spPr>
          </c:marker>
          <c:xVal>
            <c:numRef>
              <c:f>data!$Z$56:$Z$69</c:f>
              <c:numCache>
                <c:formatCode>0.0</c:formatCode>
                <c:ptCount val="14"/>
                <c:pt idx="0">
                  <c:v>0</c:v>
                </c:pt>
                <c:pt idx="1">
                  <c:v>16.833333333333258</c:v>
                </c:pt>
                <c:pt idx="2">
                  <c:v>42.499999999999901</c:v>
                </c:pt>
                <c:pt idx="3">
                  <c:v>71.749999999999901</c:v>
                </c:pt>
                <c:pt idx="4">
                  <c:v>71.749999999999886</c:v>
                </c:pt>
                <c:pt idx="5">
                  <c:v>96.499999999999886</c:v>
                </c:pt>
                <c:pt idx="6">
                  <c:v>114.49999999999989</c:v>
                </c:pt>
                <c:pt idx="7">
                  <c:v>138.99999999999994</c:v>
                </c:pt>
                <c:pt idx="8">
                  <c:v>163.3333333333332</c:v>
                </c:pt>
                <c:pt idx="9">
                  <c:v>193.83333333333326</c:v>
                </c:pt>
                <c:pt idx="10">
                  <c:v>215.33333333333331</c:v>
                </c:pt>
                <c:pt idx="11">
                  <c:v>237.49999999999989</c:v>
                </c:pt>
                <c:pt idx="12">
                  <c:v>262.16666666666657</c:v>
                </c:pt>
                <c:pt idx="13">
                  <c:v>283.5</c:v>
                </c:pt>
              </c:numCache>
            </c:numRef>
          </c:xVal>
          <c:yVal>
            <c:numRef>
              <c:f>data!$AA$56:$AA$69</c:f>
              <c:numCache>
                <c:formatCode>0.00</c:formatCode>
                <c:ptCount val="14"/>
                <c:pt idx="0">
                  <c:v>0.14608000000000002</c:v>
                </c:pt>
                <c:pt idx="1">
                  <c:v>0.28600000000000003</c:v>
                </c:pt>
                <c:pt idx="2">
                  <c:v>0.55000000000000004</c:v>
                </c:pt>
                <c:pt idx="3">
                  <c:v>0.79199999999999993</c:v>
                </c:pt>
                <c:pt idx="4">
                  <c:v>0.87119999999999997</c:v>
                </c:pt>
                <c:pt idx="5">
                  <c:v>0.85250000000000004</c:v>
                </c:pt>
                <c:pt idx="6">
                  <c:v>1.034</c:v>
                </c:pt>
                <c:pt idx="7">
                  <c:v>1.012</c:v>
                </c:pt>
                <c:pt idx="8">
                  <c:v>1.2649999999999999</c:v>
                </c:pt>
                <c:pt idx="9">
                  <c:v>1.3089999999999999</c:v>
                </c:pt>
                <c:pt idx="10">
                  <c:v>1.375</c:v>
                </c:pt>
                <c:pt idx="11">
                  <c:v>1.397</c:v>
                </c:pt>
                <c:pt idx="12">
                  <c:v>1.2649999999999999</c:v>
                </c:pt>
                <c:pt idx="13">
                  <c:v>1.2870000000000001</c:v>
                </c:pt>
              </c:numCache>
            </c:numRef>
          </c:yVal>
          <c:smooth val="0"/>
          <c:extLst>
            <c:ext xmlns:c16="http://schemas.microsoft.com/office/drawing/2014/chart" uri="{C3380CC4-5D6E-409C-BE32-E72D297353CC}">
              <c16:uniqueId val="{00000001-91C2-4DDC-8EBB-95BA37A2B9C5}"/>
            </c:ext>
          </c:extLst>
        </c:ser>
        <c:dLbls>
          <c:showLegendKey val="0"/>
          <c:showVal val="0"/>
          <c:showCatName val="0"/>
          <c:showSerName val="0"/>
          <c:showPercent val="0"/>
          <c:showBubbleSize val="0"/>
        </c:dLbls>
        <c:axId val="147608367"/>
        <c:axId val="141941183"/>
        <c:extLst>
          <c:ext xmlns:c15="http://schemas.microsoft.com/office/drawing/2012/chart" uri="{02D57815-91ED-43cb-92C2-25804820EDAC}">
            <c15:filteredScatterSeries>
              <c15:ser>
                <c:idx val="4"/>
                <c:order val="4"/>
                <c:tx>
                  <c:v>110 rpm exp</c:v>
                </c:tx>
                <c:spPr>
                  <a:ln w="25400" cap="rnd">
                    <a:noFill/>
                    <a:round/>
                  </a:ln>
                  <a:effectLst/>
                </c:spPr>
                <c:marker>
                  <c:symbol val="star"/>
                  <c:size val="6"/>
                  <c:spPr>
                    <a:solidFill>
                      <a:schemeClr val="accent4">
                        <a:lumMod val="40000"/>
                        <a:lumOff val="60000"/>
                      </a:schemeClr>
                    </a:solidFill>
                    <a:ln w="9525">
                      <a:solidFill>
                        <a:schemeClr val="accent4">
                          <a:lumMod val="60000"/>
                        </a:schemeClr>
                      </a:solidFill>
                      <a:round/>
                    </a:ln>
                    <a:effectLst/>
                  </c:spPr>
                </c:marker>
                <c:xVal>
                  <c:numRef>
                    <c:extLst>
                      <c:ext uri="{02D57815-91ED-43cb-92C2-25804820EDAC}">
                        <c15:formulaRef>
                          <c15:sqref>data!$AD$6:$AD$23</c15:sqref>
                        </c15:formulaRef>
                      </c:ext>
                    </c:extLst>
                    <c:numCache>
                      <c:formatCode>0.0</c:formatCode>
                      <c:ptCount val="18"/>
                      <c:pt idx="0">
                        <c:v>10.956666666666667</c:v>
                      </c:pt>
                      <c:pt idx="1">
                        <c:v>11.123333333333335</c:v>
                      </c:pt>
                      <c:pt idx="2">
                        <c:v>21.006666666666664</c:v>
                      </c:pt>
                      <c:pt idx="3">
                        <c:v>21.106666666666662</c:v>
                      </c:pt>
                      <c:pt idx="4">
                        <c:v>22.79</c:v>
                      </c:pt>
                      <c:pt idx="5">
                        <c:v>23.873333333333331</c:v>
                      </c:pt>
                      <c:pt idx="6">
                        <c:v>24.323333333333334</c:v>
                      </c:pt>
                      <c:pt idx="7">
                        <c:v>24.77333333333333</c:v>
                      </c:pt>
                      <c:pt idx="8">
                        <c:v>25.306666666666668</c:v>
                      </c:pt>
                      <c:pt idx="9">
                        <c:v>25.77333333333333</c:v>
                      </c:pt>
                      <c:pt idx="10">
                        <c:v>25.79</c:v>
                      </c:pt>
                      <c:pt idx="11">
                        <c:v>26.24</c:v>
                      </c:pt>
                      <c:pt idx="12">
                        <c:v>26.573333333333334</c:v>
                      </c:pt>
                      <c:pt idx="13">
                        <c:v>26.823333333333334</c:v>
                      </c:pt>
                      <c:pt idx="14">
                        <c:v>27.29</c:v>
                      </c:pt>
                      <c:pt idx="15">
                        <c:v>27.656666666666666</c:v>
                      </c:pt>
                      <c:pt idx="16">
                        <c:v>28.273333333333337</c:v>
                      </c:pt>
                      <c:pt idx="17">
                        <c:v>28.873333333333335</c:v>
                      </c:pt>
                    </c:numCache>
                  </c:numRef>
                </c:xVal>
                <c:yVal>
                  <c:numRef>
                    <c:extLst>
                      <c:ext uri="{02D57815-91ED-43cb-92C2-25804820EDAC}">
                        <c15:formulaRef>
                          <c15:sqref>data!$AE$6:$AE$23</c15:sqref>
                        </c15:formulaRef>
                      </c:ext>
                    </c:extLst>
                    <c:numCache>
                      <c:formatCode>0.0</c:formatCode>
                      <c:ptCount val="18"/>
                      <c:pt idx="0">
                        <c:v>0.1611435</c:v>
                      </c:pt>
                      <c:pt idx="1">
                        <c:v>0.12669495</c:v>
                      </c:pt>
                      <c:pt idx="2">
                        <c:v>1.2458879999999999</c:v>
                      </c:pt>
                      <c:pt idx="3">
                        <c:v>1.216912</c:v>
                      </c:pt>
                      <c:pt idx="4">
                        <c:v>1.7823119999999999</c:v>
                      </c:pt>
                      <c:pt idx="5">
                        <c:v>2.0721539999999998</c:v>
                      </c:pt>
                      <c:pt idx="6">
                        <c:v>2.089458</c:v>
                      </c:pt>
                      <c:pt idx="7">
                        <c:v>2.3187359999999999</c:v>
                      </c:pt>
                      <c:pt idx="8">
                        <c:v>2.3338769999999998</c:v>
                      </c:pt>
                      <c:pt idx="9">
                        <c:v>2.5566659999999999</c:v>
                      </c:pt>
                      <c:pt idx="10">
                        <c:v>2.2236664999999998</c:v>
                      </c:pt>
                      <c:pt idx="11">
                        <c:v>2.5038765000000001</c:v>
                      </c:pt>
                      <c:pt idx="12">
                        <c:v>2.6583269999999999</c:v>
                      </c:pt>
                      <c:pt idx="13">
                        <c:v>2.3977970000000002</c:v>
                      </c:pt>
                      <c:pt idx="14">
                        <c:v>2.5759304999999997</c:v>
                      </c:pt>
                      <c:pt idx="15">
                        <c:v>3.051993</c:v>
                      </c:pt>
                      <c:pt idx="16">
                        <c:v>3.0022500000000001</c:v>
                      </c:pt>
                      <c:pt idx="17">
                        <c:v>3.4746039999999998</c:v>
                      </c:pt>
                    </c:numCache>
                  </c:numRef>
                </c:yVal>
                <c:smooth val="0"/>
                <c:extLst>
                  <c:ext xmlns:c16="http://schemas.microsoft.com/office/drawing/2014/chart" uri="{C3380CC4-5D6E-409C-BE32-E72D297353CC}">
                    <c16:uniqueId val="{00000002-91C2-4DDC-8EBB-95BA37A2B9C5}"/>
                  </c:ext>
                </c:extLst>
              </c15:ser>
            </c15:filteredScatterSeries>
            <c15:filteredScatterSeries>
              <c15:ser>
                <c:idx val="5"/>
                <c:order val="5"/>
                <c:tx>
                  <c:v>110 rpm death</c:v>
                </c:tx>
                <c:spPr>
                  <a:ln w="25400" cap="rnd">
                    <a:noFill/>
                    <a:round/>
                  </a:ln>
                  <a:effectLst/>
                </c:spPr>
                <c:marker>
                  <c:symbol val="circle"/>
                  <c:size val="6"/>
                  <c:spPr>
                    <a:solidFill>
                      <a:schemeClr val="accent6">
                        <a:lumMod val="60000"/>
                      </a:schemeClr>
                    </a:solidFill>
                    <a:ln w="9525">
                      <a:solidFill>
                        <a:schemeClr val="accent6">
                          <a:lumMod val="60000"/>
                        </a:schemeClr>
                      </a:solidFill>
                      <a:round/>
                    </a:ln>
                    <a:effectLst/>
                  </c:spPr>
                </c:marker>
                <c:xVal>
                  <c:numRef>
                    <c:extLst xmlns:c15="http://schemas.microsoft.com/office/drawing/2012/chart">
                      <c:ext xmlns:c15="http://schemas.microsoft.com/office/drawing/2012/chart" uri="{02D57815-91ED-43cb-92C2-25804820EDAC}">
                        <c15:formulaRef>
                          <c15:sqref>data!$AD$24:$AD$29</c15:sqref>
                        </c15:formulaRef>
                      </c:ext>
                    </c:extLst>
                    <c:numCache>
                      <c:formatCode>0.0</c:formatCode>
                      <c:ptCount val="6"/>
                      <c:pt idx="0">
                        <c:v>26.199999999999996</c:v>
                      </c:pt>
                      <c:pt idx="1">
                        <c:v>31.5</c:v>
                      </c:pt>
                      <c:pt idx="2">
                        <c:v>45.883333333333333</c:v>
                      </c:pt>
                      <c:pt idx="3">
                        <c:v>71.566666666666663</c:v>
                      </c:pt>
                      <c:pt idx="4">
                        <c:v>101.61666666666666</c:v>
                      </c:pt>
                      <c:pt idx="5">
                        <c:v>119.95</c:v>
                      </c:pt>
                    </c:numCache>
                  </c:numRef>
                </c:xVal>
                <c:yVal>
                  <c:numRef>
                    <c:extLst xmlns:c15="http://schemas.microsoft.com/office/drawing/2012/chart">
                      <c:ext xmlns:c15="http://schemas.microsoft.com/office/drawing/2012/chart" uri="{02D57815-91ED-43cb-92C2-25804820EDAC}">
                        <c15:formulaRef>
                          <c15:sqref>data!$AE$24:$AE$29</c15:sqref>
                        </c15:formulaRef>
                      </c:ext>
                    </c:extLst>
                    <c:numCache>
                      <c:formatCode>0.0</c:formatCode>
                      <c:ptCount val="6"/>
                      <c:pt idx="0">
                        <c:v>2.0967596559514168</c:v>
                      </c:pt>
                      <c:pt idx="1">
                        <c:v>3.74212932935218</c:v>
                      </c:pt>
                      <c:pt idx="2">
                        <c:v>6.459336197412882</c:v>
                      </c:pt>
                      <c:pt idx="3">
                        <c:v>11.255385544178067</c:v>
                      </c:pt>
                      <c:pt idx="4">
                        <c:v>15.405861511174132</c:v>
                      </c:pt>
                      <c:pt idx="5">
                        <c:v>17.793357662382054</c:v>
                      </c:pt>
                    </c:numCache>
                  </c:numRef>
                </c:yVal>
                <c:smooth val="0"/>
                <c:extLst xmlns:c15="http://schemas.microsoft.com/office/drawing/2012/chart">
                  <c:ext xmlns:c16="http://schemas.microsoft.com/office/drawing/2014/chart" uri="{C3380CC4-5D6E-409C-BE32-E72D297353CC}">
                    <c16:uniqueId val="{00000003-91C2-4DDC-8EBB-95BA37A2B9C5}"/>
                  </c:ext>
                </c:extLst>
              </c15:ser>
            </c15:filteredScatterSeries>
          </c:ext>
        </c:extLst>
      </c:scatterChart>
      <c:valAx>
        <c:axId val="14760836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1183"/>
        <c:crosses val="autoZero"/>
        <c:crossBetween val="midCat"/>
      </c:valAx>
      <c:valAx>
        <c:axId val="1419411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8367"/>
        <c:crosses val="autoZero"/>
        <c:crossBetween val="midCat"/>
      </c:valAx>
      <c:spPr>
        <a:noFill/>
        <a:ln>
          <a:noFill/>
        </a:ln>
        <a:effectLst/>
      </c:spPr>
    </c:plotArea>
    <c:legend>
      <c:legendPos val="t"/>
      <c:layout>
        <c:manualLayout>
          <c:xMode val="edge"/>
          <c:yMode val="edge"/>
          <c:x val="0.80391642013585818"/>
          <c:y val="0.31033836534757536"/>
          <c:w val="0.13428780850246427"/>
          <c:h val="0.2900556848675576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33</xdr:col>
      <xdr:colOff>3798241</xdr:colOff>
      <xdr:row>40</xdr:row>
      <xdr:rowOff>127706</xdr:rowOff>
    </xdr:from>
    <xdr:to>
      <xdr:col>39</xdr:col>
      <xdr:colOff>105834</xdr:colOff>
      <xdr:row>52</xdr:row>
      <xdr:rowOff>117593</xdr:rowOff>
    </xdr:to>
    <xdr:graphicFrame macro="">
      <xdr:nvGraphicFramePr>
        <xdr:cNvPr id="2" name="Chart 1">
          <a:extLst>
            <a:ext uri="{FF2B5EF4-FFF2-40B4-BE49-F238E27FC236}">
              <a16:creationId xmlns:a16="http://schemas.microsoft.com/office/drawing/2014/main" id="{E48A68AD-1CC8-8192-7A6A-2B2DB4F29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23517</xdr:colOff>
      <xdr:row>54</xdr:row>
      <xdr:rowOff>82315</xdr:rowOff>
    </xdr:from>
    <xdr:to>
      <xdr:col>38</xdr:col>
      <xdr:colOff>599722</xdr:colOff>
      <xdr:row>66</xdr:row>
      <xdr:rowOff>152870</xdr:rowOff>
    </xdr:to>
    <xdr:graphicFrame macro="">
      <xdr:nvGraphicFramePr>
        <xdr:cNvPr id="3" name="Chart 2">
          <a:extLst>
            <a:ext uri="{FF2B5EF4-FFF2-40B4-BE49-F238E27FC236}">
              <a16:creationId xmlns:a16="http://schemas.microsoft.com/office/drawing/2014/main" id="{AA13C408-1E9A-4E6E-9A48-C4855B73E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159862</xdr:colOff>
      <xdr:row>46</xdr:row>
      <xdr:rowOff>152157</xdr:rowOff>
    </xdr:from>
    <xdr:to>
      <xdr:col>47</xdr:col>
      <xdr:colOff>75690</xdr:colOff>
      <xdr:row>61</xdr:row>
      <xdr:rowOff>189910</xdr:rowOff>
    </xdr:to>
    <xdr:graphicFrame macro="">
      <xdr:nvGraphicFramePr>
        <xdr:cNvPr id="4" name="Chart 3">
          <a:extLst>
            <a:ext uri="{FF2B5EF4-FFF2-40B4-BE49-F238E27FC236}">
              <a16:creationId xmlns:a16="http://schemas.microsoft.com/office/drawing/2014/main" id="{B675EA24-DB93-4422-A298-A2E441439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3032125</xdr:colOff>
      <xdr:row>5</xdr:row>
      <xdr:rowOff>10848</xdr:rowOff>
    </xdr:from>
    <xdr:to>
      <xdr:col>46</xdr:col>
      <xdr:colOff>251354</xdr:colOff>
      <xdr:row>21</xdr:row>
      <xdr:rowOff>171979</xdr:rowOff>
    </xdr:to>
    <xdr:graphicFrame macro="">
      <xdr:nvGraphicFramePr>
        <xdr:cNvPr id="5" name="Chart 4">
          <a:extLst>
            <a:ext uri="{FF2B5EF4-FFF2-40B4-BE49-F238E27FC236}">
              <a16:creationId xmlns:a16="http://schemas.microsoft.com/office/drawing/2014/main" id="{E101074D-F048-F517-2070-FEA1867BA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3029480</xdr:colOff>
      <xdr:row>22</xdr:row>
      <xdr:rowOff>0</xdr:rowOff>
    </xdr:from>
    <xdr:to>
      <xdr:col>46</xdr:col>
      <xdr:colOff>277813</xdr:colOff>
      <xdr:row>36</xdr:row>
      <xdr:rowOff>26458</xdr:rowOff>
    </xdr:to>
    <xdr:graphicFrame macro="">
      <xdr:nvGraphicFramePr>
        <xdr:cNvPr id="6" name="Chart 5">
          <a:extLst>
            <a:ext uri="{FF2B5EF4-FFF2-40B4-BE49-F238E27FC236}">
              <a16:creationId xmlns:a16="http://schemas.microsoft.com/office/drawing/2014/main" id="{498AF0E8-53AB-4487-AC94-1C96ED2C5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521246</xdr:colOff>
      <xdr:row>5</xdr:row>
      <xdr:rowOff>18268</xdr:rowOff>
    </xdr:from>
    <xdr:to>
      <xdr:col>73</xdr:col>
      <xdr:colOff>249576</xdr:colOff>
      <xdr:row>48</xdr:row>
      <xdr:rowOff>175559</xdr:rowOff>
    </xdr:to>
    <xdr:graphicFrame macro="">
      <xdr:nvGraphicFramePr>
        <xdr:cNvPr id="7" name="Chart 6">
          <a:extLst>
            <a:ext uri="{FF2B5EF4-FFF2-40B4-BE49-F238E27FC236}">
              <a16:creationId xmlns:a16="http://schemas.microsoft.com/office/drawing/2014/main" id="{68278887-559A-6F09-3612-7E10A068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kache_batch_701" connectionId="3" xr16:uid="{6CAD379D-9E05-418A-A74B-BB4EE3BF3558}"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anna_44b_1" connectionId="1" xr16:uid="{92360257-218F-403E-A041-993C4567358B}"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anna_A10_501" connectionId="2" xr16:uid="{D70E40C1-02C3-44F5-B983-208AB93C92DF}"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kache_batch_702" connectionId="4" xr16:uid="{E7193152-217C-45FE-833A-23D1E2F5133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drawing" Target="../drawings/drawing1.xml"/><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ciencedirect.com/science/article/pii/S0043135415000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workbookViewId="0">
      <selection activeCell="B14" sqref="B14"/>
    </sheetView>
  </sheetViews>
  <sheetFormatPr defaultRowHeight="14.5" x14ac:dyDescent="0.35"/>
  <sheetData>
    <row r="1" spans="1:2" s="5" customFormat="1" ht="21" x14ac:dyDescent="0.5">
      <c r="A1" s="9" t="s">
        <v>2</v>
      </c>
    </row>
    <row r="2" spans="1:2" x14ac:dyDescent="0.35">
      <c r="A2" s="6"/>
    </row>
    <row r="3" spans="1:2" ht="21" x14ac:dyDescent="0.5">
      <c r="B3" s="8" t="s">
        <v>14</v>
      </c>
    </row>
    <row r="5" spans="1:2" x14ac:dyDescent="0.35">
      <c r="B5" t="s">
        <v>9</v>
      </c>
    </row>
    <row r="6" spans="1:2" x14ac:dyDescent="0.35">
      <c r="B6" t="s">
        <v>28</v>
      </c>
    </row>
    <row r="7" spans="1:2" x14ac:dyDescent="0.35">
      <c r="B7" t="s">
        <v>3</v>
      </c>
    </row>
    <row r="9" spans="1:2" x14ac:dyDescent="0.35">
      <c r="B9" t="s">
        <v>0</v>
      </c>
    </row>
    <row r="10" spans="1:2" x14ac:dyDescent="0.35">
      <c r="B10" t="s">
        <v>1</v>
      </c>
    </row>
    <row r="12" spans="1:2" x14ac:dyDescent="0.35">
      <c r="B12" s="13" t="s">
        <v>69</v>
      </c>
    </row>
    <row r="13" spans="1:2" x14ac:dyDescent="0.35">
      <c r="B13" s="3"/>
    </row>
    <row r="14" spans="1:2" x14ac:dyDescent="0.35">
      <c r="B14" s="4"/>
    </row>
    <row r="15" spans="1:2" x14ac:dyDescent="0.35">
      <c r="B15" s="3"/>
    </row>
    <row r="16" spans="1:2" x14ac:dyDescent="0.35">
      <c r="B16" s="4"/>
    </row>
    <row r="17" spans="2:2" x14ac:dyDescent="0.35">
      <c r="B17" s="2"/>
    </row>
    <row r="18" spans="2:2" x14ac:dyDescent="0.35">
      <c r="B18" s="4"/>
    </row>
    <row r="19" spans="2:2" x14ac:dyDescent="0.35">
      <c r="B19" s="3"/>
    </row>
    <row r="20" spans="2:2" x14ac:dyDescent="0.35">
      <c r="B20" s="4"/>
    </row>
    <row r="21" spans="2:2" x14ac:dyDescent="0.35">
      <c r="B21" s="3"/>
    </row>
    <row r="22" spans="2:2" x14ac:dyDescent="0.35">
      <c r="B22" s="4"/>
    </row>
    <row r="23" spans="2:2" x14ac:dyDescent="0.35">
      <c r="B23" s="2"/>
    </row>
    <row r="24" spans="2:2" x14ac:dyDescent="0.35">
      <c r="B24" s="4"/>
    </row>
    <row r="25" spans="2:2" x14ac:dyDescent="0.35">
      <c r="B25" s="3"/>
    </row>
    <row r="26" spans="2:2" x14ac:dyDescent="0.35">
      <c r="B26" s="4"/>
    </row>
    <row r="27" spans="2:2" x14ac:dyDescent="0.35">
      <c r="B27" s="3"/>
    </row>
    <row r="28" spans="2:2" x14ac:dyDescent="0.35">
      <c r="B28" s="4"/>
    </row>
    <row r="29" spans="2:2" x14ac:dyDescent="0.35">
      <c r="B29" s="3"/>
    </row>
    <row r="30" spans="2:2" x14ac:dyDescent="0.35">
      <c r="B30" s="4"/>
    </row>
    <row r="31" spans="2:2" x14ac:dyDescent="0.35">
      <c r="B31" s="3"/>
    </row>
    <row r="32" spans="2:2" x14ac:dyDescent="0.35">
      <c r="B32" s="4"/>
    </row>
    <row r="33" spans="2:2" x14ac:dyDescent="0.35">
      <c r="B33" s="2"/>
    </row>
    <row r="34" spans="2:2" x14ac:dyDescent="0.35">
      <c r="B34" s="4"/>
    </row>
    <row r="35" spans="2:2" x14ac:dyDescent="0.35">
      <c r="B35" s="3"/>
    </row>
    <row r="36" spans="2:2" x14ac:dyDescent="0.35">
      <c r="B36" s="4"/>
    </row>
    <row r="37" spans="2:2" x14ac:dyDescent="0.35">
      <c r="B37" s="3"/>
    </row>
    <row r="38" spans="2:2" x14ac:dyDescent="0.35">
      <c r="B38" s="4"/>
    </row>
    <row r="39" spans="2:2" x14ac:dyDescent="0.35">
      <c r="B39" s="2"/>
    </row>
    <row r="40" spans="2:2" x14ac:dyDescent="0.35">
      <c r="B40" s="4"/>
    </row>
    <row r="41" spans="2:2" x14ac:dyDescent="0.35">
      <c r="B41" s="2"/>
    </row>
    <row r="42" spans="2:2" x14ac:dyDescent="0.35">
      <c r="B42" s="4"/>
    </row>
    <row r="43" spans="2:2" x14ac:dyDescent="0.35">
      <c r="B43" s="3"/>
    </row>
    <row r="44" spans="2:2" x14ac:dyDescent="0.35">
      <c r="B44" s="4"/>
    </row>
    <row r="45" spans="2:2" x14ac:dyDescent="0.35">
      <c r="B45" s="3"/>
    </row>
    <row r="46" spans="2:2" x14ac:dyDescent="0.35">
      <c r="B46" s="4"/>
    </row>
    <row r="47" spans="2:2" x14ac:dyDescent="0.35">
      <c r="B47" s="2"/>
    </row>
    <row r="48" spans="2:2" x14ac:dyDescent="0.35">
      <c r="B48" s="4"/>
    </row>
    <row r="49" spans="2:2" x14ac:dyDescent="0.35">
      <c r="B49" s="3"/>
    </row>
    <row r="50" spans="2:2" x14ac:dyDescent="0.35">
      <c r="B50" s="4"/>
    </row>
    <row r="51" spans="2:2" x14ac:dyDescent="0.35">
      <c r="B51" s="3"/>
    </row>
    <row r="52" spans="2:2" x14ac:dyDescent="0.35">
      <c r="B52" s="4"/>
    </row>
    <row r="53" spans="2:2" x14ac:dyDescent="0.35">
      <c r="B53" s="3"/>
    </row>
    <row r="54" spans="2:2" x14ac:dyDescent="0.35">
      <c r="B54" s="4"/>
    </row>
    <row r="56" spans="2:2" ht="17.5" x14ac:dyDescent="0.35">
      <c r="B56" s="1"/>
    </row>
    <row r="57" spans="2:2" x14ac:dyDescent="0.35">
      <c r="B57" s="3"/>
    </row>
    <row r="58" spans="2:2" x14ac:dyDescent="0.35">
      <c r="B58" s="4"/>
    </row>
    <row r="59" spans="2:2" x14ac:dyDescent="0.35">
      <c r="B59" s="3"/>
    </row>
    <row r="60" spans="2:2" x14ac:dyDescent="0.35">
      <c r="B60" s="4"/>
    </row>
    <row r="61" spans="2:2" x14ac:dyDescent="0.35">
      <c r="B61" s="3"/>
    </row>
    <row r="62" spans="2:2" x14ac:dyDescent="0.35">
      <c r="B62" s="4"/>
    </row>
    <row r="63" spans="2:2" x14ac:dyDescent="0.35">
      <c r="B63" s="3"/>
    </row>
    <row r="64" spans="2:2" x14ac:dyDescent="0.35">
      <c r="B64" s="4"/>
    </row>
    <row r="65" spans="2:2" x14ac:dyDescent="0.35">
      <c r="B65" s="3"/>
    </row>
    <row r="66" spans="2:2" x14ac:dyDescent="0.35">
      <c r="B66" s="4"/>
    </row>
    <row r="67" spans="2:2" x14ac:dyDescent="0.35">
      <c r="B67" s="3"/>
    </row>
    <row r="68" spans="2:2" x14ac:dyDescent="0.35">
      <c r="B68" s="4"/>
    </row>
    <row r="69" spans="2:2" x14ac:dyDescent="0.35">
      <c r="B69" s="3"/>
    </row>
    <row r="70" spans="2:2" x14ac:dyDescent="0.35">
      <c r="B70" s="4"/>
    </row>
    <row r="71" spans="2:2" x14ac:dyDescent="0.35">
      <c r="B71" s="3"/>
    </row>
    <row r="72" spans="2:2" x14ac:dyDescent="0.35">
      <c r="B72" s="4"/>
    </row>
    <row r="73" spans="2:2" x14ac:dyDescent="0.35">
      <c r="B73" s="3"/>
    </row>
    <row r="74" spans="2:2" x14ac:dyDescent="0.35">
      <c r="B74" s="4"/>
    </row>
    <row r="75" spans="2:2" x14ac:dyDescent="0.35">
      <c r="B75" s="2"/>
    </row>
    <row r="76" spans="2:2" x14ac:dyDescent="0.35">
      <c r="B76"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F9AE-2C23-4D2E-9D4B-C72BA83B7BF3}">
  <dimension ref="A1:I23"/>
  <sheetViews>
    <sheetView zoomScale="108" workbookViewId="0">
      <selection activeCell="C18" sqref="C18"/>
    </sheetView>
  </sheetViews>
  <sheetFormatPr defaultRowHeight="14.5" x14ac:dyDescent="0.35"/>
  <cols>
    <col min="1" max="1" width="27.453125" customWidth="1"/>
    <col min="2" max="2" width="46.26953125" customWidth="1"/>
    <col min="3" max="3" width="58.7265625" customWidth="1"/>
    <col min="4" max="4" width="29.54296875" customWidth="1"/>
    <col min="5" max="5" width="23.1796875" customWidth="1"/>
    <col min="6" max="6" width="29.26953125" customWidth="1"/>
    <col min="7" max="7" width="11.7265625" customWidth="1"/>
    <col min="8" max="8" width="55.7265625" customWidth="1"/>
    <col min="9" max="9" width="19.1796875" customWidth="1"/>
  </cols>
  <sheetData>
    <row r="1" spans="1:9" s="5" customFormat="1" ht="21" x14ac:dyDescent="0.5">
      <c r="A1" s="9" t="s">
        <v>2</v>
      </c>
    </row>
    <row r="4" spans="1:9" x14ac:dyDescent="0.35">
      <c r="A4" s="28" t="s">
        <v>10</v>
      </c>
      <c r="B4" s="28" t="s">
        <v>8</v>
      </c>
      <c r="C4" s="28" t="s">
        <v>15</v>
      </c>
      <c r="G4" s="127" t="s">
        <v>59</v>
      </c>
      <c r="H4" s="127"/>
      <c r="I4" s="11" t="s">
        <v>32</v>
      </c>
    </row>
    <row r="5" spans="1:9" x14ac:dyDescent="0.35">
      <c r="A5" s="7" t="s">
        <v>116</v>
      </c>
      <c r="B5" s="7" t="s">
        <v>48</v>
      </c>
      <c r="C5" s="7" t="s">
        <v>44</v>
      </c>
      <c r="G5" s="10" t="s">
        <v>7</v>
      </c>
      <c r="H5" t="s">
        <v>45</v>
      </c>
      <c r="I5" t="s">
        <v>5</v>
      </c>
    </row>
    <row r="6" spans="1:9" x14ac:dyDescent="0.35">
      <c r="C6" t="s">
        <v>53</v>
      </c>
      <c r="G6" s="10" t="s">
        <v>46</v>
      </c>
      <c r="H6" t="s">
        <v>47</v>
      </c>
      <c r="I6" t="s">
        <v>55</v>
      </c>
    </row>
    <row r="7" spans="1:9" ht="15" customHeight="1" x14ac:dyDescent="0.35">
      <c r="A7" s="7" t="s">
        <v>11</v>
      </c>
      <c r="B7" s="7" t="s">
        <v>13</v>
      </c>
      <c r="C7" s="7" t="s">
        <v>20</v>
      </c>
      <c r="G7" s="10" t="s">
        <v>66</v>
      </c>
      <c r="H7" t="s">
        <v>57</v>
      </c>
      <c r="I7" t="s">
        <v>54</v>
      </c>
    </row>
    <row r="8" spans="1:9" x14ac:dyDescent="0.35">
      <c r="C8" t="s">
        <v>21</v>
      </c>
      <c r="G8" s="10" t="s">
        <v>65</v>
      </c>
      <c r="H8" t="s">
        <v>49</v>
      </c>
      <c r="I8" t="s">
        <v>50</v>
      </c>
    </row>
    <row r="9" spans="1:9" x14ac:dyDescent="0.35">
      <c r="C9" t="s">
        <v>22</v>
      </c>
      <c r="G9" s="10" t="s">
        <v>18</v>
      </c>
      <c r="H9" t="s">
        <v>35</v>
      </c>
      <c r="I9" t="s">
        <v>34</v>
      </c>
    </row>
    <row r="10" spans="1:9" x14ac:dyDescent="0.35">
      <c r="A10" s="7" t="s">
        <v>12</v>
      </c>
      <c r="B10" s="7"/>
      <c r="C10" s="7" t="s">
        <v>36</v>
      </c>
      <c r="G10" s="10" t="s">
        <v>51</v>
      </c>
      <c r="H10" t="s">
        <v>58</v>
      </c>
      <c r="I10" t="s">
        <v>52</v>
      </c>
    </row>
    <row r="11" spans="1:9" x14ac:dyDescent="0.35">
      <c r="G11" s="10" t="s">
        <v>16</v>
      </c>
      <c r="H11" t="s">
        <v>31</v>
      </c>
      <c r="I11" t="s">
        <v>43</v>
      </c>
    </row>
    <row r="12" spans="1:9" x14ac:dyDescent="0.35">
      <c r="A12" s="28" t="s">
        <v>131</v>
      </c>
      <c r="B12" s="28" t="s">
        <v>115</v>
      </c>
      <c r="C12" s="28" t="s">
        <v>117</v>
      </c>
      <c r="D12" s="29" t="s">
        <v>118</v>
      </c>
      <c r="E12" s="29" t="s">
        <v>8</v>
      </c>
      <c r="F12" s="29" t="s">
        <v>132</v>
      </c>
      <c r="G12" s="10" t="s">
        <v>17</v>
      </c>
      <c r="H12" t="s">
        <v>19</v>
      </c>
      <c r="I12" t="s">
        <v>43</v>
      </c>
    </row>
    <row r="13" spans="1:9" x14ac:dyDescent="0.35">
      <c r="A13" s="7" t="s">
        <v>113</v>
      </c>
      <c r="B13" s="7" t="s">
        <v>12</v>
      </c>
      <c r="C13" s="7" t="s">
        <v>128</v>
      </c>
      <c r="D13" t="s">
        <v>120</v>
      </c>
      <c r="E13" t="s">
        <v>114</v>
      </c>
      <c r="G13" s="10" t="s">
        <v>24</v>
      </c>
      <c r="H13" t="s">
        <v>56</v>
      </c>
      <c r="I13" t="s">
        <v>54</v>
      </c>
    </row>
    <row r="14" spans="1:9" x14ac:dyDescent="0.35">
      <c r="B14" t="s">
        <v>11</v>
      </c>
      <c r="C14" t="s">
        <v>127</v>
      </c>
      <c r="D14" t="s">
        <v>121</v>
      </c>
      <c r="E14" t="s">
        <v>119</v>
      </c>
      <c r="G14" s="10" t="s">
        <v>23</v>
      </c>
      <c r="H14" t="s">
        <v>29</v>
      </c>
      <c r="I14" t="s">
        <v>54</v>
      </c>
    </row>
    <row r="15" spans="1:9" x14ac:dyDescent="0.35">
      <c r="B15" t="s">
        <v>11</v>
      </c>
      <c r="C15" t="s">
        <v>126</v>
      </c>
      <c r="D15" t="s">
        <v>123</v>
      </c>
      <c r="E15" t="s">
        <v>130</v>
      </c>
      <c r="G15" s="10" t="s">
        <v>25</v>
      </c>
      <c r="H15" t="s">
        <v>27</v>
      </c>
      <c r="I15" t="s">
        <v>33</v>
      </c>
    </row>
    <row r="16" spans="1:9" x14ac:dyDescent="0.35">
      <c r="B16" t="s">
        <v>116</v>
      </c>
      <c r="C16" t="s">
        <v>125</v>
      </c>
      <c r="D16" t="s">
        <v>122</v>
      </c>
      <c r="G16" s="10" t="s">
        <v>26</v>
      </c>
      <c r="H16" t="s">
        <v>30</v>
      </c>
      <c r="I16" t="s">
        <v>43</v>
      </c>
    </row>
    <row r="17" spans="2:9" x14ac:dyDescent="0.35">
      <c r="B17" t="s">
        <v>116</v>
      </c>
      <c r="C17" t="s">
        <v>124</v>
      </c>
      <c r="G17" s="10" t="s">
        <v>37</v>
      </c>
      <c r="H17" t="s">
        <v>42</v>
      </c>
      <c r="I17" t="s">
        <v>43</v>
      </c>
    </row>
    <row r="18" spans="2:9" x14ac:dyDescent="0.35">
      <c r="C18" t="s">
        <v>129</v>
      </c>
      <c r="G18" s="10" t="s">
        <v>40</v>
      </c>
      <c r="H18" t="s">
        <v>41</v>
      </c>
      <c r="I18" t="s">
        <v>43</v>
      </c>
    </row>
    <row r="19" spans="2:9" x14ac:dyDescent="0.35">
      <c r="G19" s="10" t="s">
        <v>38</v>
      </c>
      <c r="H19" t="s">
        <v>39</v>
      </c>
      <c r="I19" t="s">
        <v>33</v>
      </c>
    </row>
    <row r="20" spans="2:9" x14ac:dyDescent="0.35">
      <c r="C20" s="6"/>
      <c r="G20" s="128" t="s">
        <v>60</v>
      </c>
      <c r="H20" s="128"/>
      <c r="I20" s="12" t="s">
        <v>32</v>
      </c>
    </row>
    <row r="21" spans="2:9" x14ac:dyDescent="0.35">
      <c r="G21" t="s">
        <v>61</v>
      </c>
      <c r="H21" t="s">
        <v>62</v>
      </c>
      <c r="I21" t="s">
        <v>64</v>
      </c>
    </row>
    <row r="22" spans="2:9" x14ac:dyDescent="0.35">
      <c r="G22" t="s">
        <v>4</v>
      </c>
      <c r="H22" t="s">
        <v>63</v>
      </c>
      <c r="I22" t="s">
        <v>5</v>
      </c>
    </row>
    <row r="23" spans="2:9" x14ac:dyDescent="0.35">
      <c r="G23" t="s">
        <v>67</v>
      </c>
      <c r="H23" t="s">
        <v>68</v>
      </c>
      <c r="I23" t="s">
        <v>43</v>
      </c>
    </row>
  </sheetData>
  <mergeCells count="2">
    <mergeCell ref="G4:H4"/>
    <mergeCell ref="G20:H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2B44-CE80-4A0E-B54B-E62DA67EF76F}">
  <dimension ref="A1:L35"/>
  <sheetViews>
    <sheetView topLeftCell="A4" workbookViewId="0">
      <selection activeCell="C8" sqref="C8"/>
    </sheetView>
  </sheetViews>
  <sheetFormatPr defaultRowHeight="14.5" x14ac:dyDescent="0.35"/>
  <cols>
    <col min="3" max="13" width="18.7265625" customWidth="1"/>
  </cols>
  <sheetData>
    <row r="1" spans="1:12" s="5" customFormat="1" ht="21" x14ac:dyDescent="0.5">
      <c r="A1" s="9" t="s">
        <v>2</v>
      </c>
    </row>
    <row r="3" spans="1:12" x14ac:dyDescent="0.35">
      <c r="C3" s="6" t="s">
        <v>75</v>
      </c>
    </row>
    <row r="4" spans="1:12" ht="15" thickBot="1" x14ac:dyDescent="0.4"/>
    <row r="5" spans="1:12" ht="15.5" x14ac:dyDescent="0.35">
      <c r="C5" s="20"/>
      <c r="D5" s="22" t="s">
        <v>76</v>
      </c>
      <c r="E5" s="14" t="s">
        <v>61</v>
      </c>
      <c r="F5" s="14" t="s">
        <v>40</v>
      </c>
      <c r="G5" s="14" t="s">
        <v>23</v>
      </c>
      <c r="H5" s="131" t="s">
        <v>77</v>
      </c>
      <c r="I5" s="131"/>
      <c r="J5" s="131" t="s">
        <v>78</v>
      </c>
      <c r="K5" s="131"/>
      <c r="L5" s="14" t="s">
        <v>79</v>
      </c>
    </row>
    <row r="6" spans="1:12" ht="15.5" x14ac:dyDescent="0.35">
      <c r="C6" s="15"/>
      <c r="D6" s="23"/>
      <c r="E6" s="23"/>
      <c r="F6" s="23"/>
      <c r="G6" s="23"/>
      <c r="H6" s="24" t="s">
        <v>80</v>
      </c>
      <c r="I6" s="24" t="s">
        <v>81</v>
      </c>
      <c r="J6" s="24" t="s">
        <v>80</v>
      </c>
      <c r="K6" s="24" t="s">
        <v>81</v>
      </c>
      <c r="L6" s="23" t="s">
        <v>70</v>
      </c>
    </row>
    <row r="7" spans="1:12" ht="43.5" customHeight="1" thickBot="1" x14ac:dyDescent="0.4">
      <c r="C7" s="19"/>
      <c r="D7" s="25" t="s">
        <v>82</v>
      </c>
      <c r="E7" s="25" t="s">
        <v>83</v>
      </c>
      <c r="F7" s="25" t="s">
        <v>84</v>
      </c>
      <c r="G7" s="25" t="s">
        <v>85</v>
      </c>
      <c r="H7" s="129" t="s">
        <v>86</v>
      </c>
      <c r="I7" s="129"/>
      <c r="J7" s="129" t="s">
        <v>87</v>
      </c>
      <c r="K7" s="129"/>
      <c r="L7" s="25" t="s">
        <v>88</v>
      </c>
    </row>
    <row r="8" spans="1:12" ht="15" customHeight="1" x14ac:dyDescent="0.35">
      <c r="C8" s="15"/>
      <c r="D8" s="130"/>
      <c r="E8" s="130"/>
      <c r="F8" s="130"/>
      <c r="G8" s="130"/>
      <c r="H8" s="130"/>
      <c r="I8" s="130"/>
      <c r="J8" s="130"/>
      <c r="K8" s="130"/>
      <c r="L8" s="15"/>
    </row>
    <row r="9" spans="1:12" ht="15.5" x14ac:dyDescent="0.35">
      <c r="C9" s="16" t="s">
        <v>71</v>
      </c>
      <c r="D9" s="16">
        <v>0.27</v>
      </c>
      <c r="E9" s="16">
        <v>24</v>
      </c>
      <c r="F9" s="17">
        <v>2.5000000000000002E-6</v>
      </c>
      <c r="G9" s="16">
        <v>7.1</v>
      </c>
      <c r="H9" s="16">
        <v>0.59</v>
      </c>
      <c r="I9" s="16">
        <v>0.54</v>
      </c>
      <c r="J9" s="17">
        <v>1.2999999999999999E-4</v>
      </c>
      <c r="K9" s="17">
        <v>1.3999999999999999E-4</v>
      </c>
      <c r="L9" s="16">
        <v>0.1</v>
      </c>
    </row>
    <row r="10" spans="1:12" ht="28.5" customHeight="1" x14ac:dyDescent="0.35">
      <c r="C10" s="16" t="s">
        <v>72</v>
      </c>
      <c r="D10" s="15">
        <v>0.26</v>
      </c>
      <c r="E10" s="15">
        <v>24.5</v>
      </c>
      <c r="F10" s="18">
        <v>2.5000000000000002E-6</v>
      </c>
      <c r="G10" s="15">
        <v>5.8</v>
      </c>
      <c r="H10" s="15">
        <v>0.59</v>
      </c>
      <c r="I10" s="15">
        <v>0.54</v>
      </c>
      <c r="J10" s="18">
        <v>1.2999999999999999E-4</v>
      </c>
      <c r="K10" s="18">
        <v>1.3999999999999999E-4</v>
      </c>
      <c r="L10" s="15">
        <v>0.1</v>
      </c>
    </row>
    <row r="11" spans="1:12" ht="15.5" x14ac:dyDescent="0.35">
      <c r="C11" s="16" t="s">
        <v>73</v>
      </c>
      <c r="D11" s="15">
        <v>0.27</v>
      </c>
      <c r="E11" s="15">
        <v>25</v>
      </c>
      <c r="F11" s="18">
        <v>3.7000000000000002E-6</v>
      </c>
      <c r="G11" s="15">
        <v>7.1</v>
      </c>
      <c r="H11" s="15">
        <v>0.7</v>
      </c>
      <c r="I11" s="15">
        <v>0.63</v>
      </c>
      <c r="J11" s="18">
        <v>1.7000000000000001E-4</v>
      </c>
      <c r="K11" s="18">
        <v>1.9000000000000001E-4</v>
      </c>
      <c r="L11" s="15">
        <v>0.11</v>
      </c>
    </row>
    <row r="12" spans="1:12" ht="15.5" x14ac:dyDescent="0.35">
      <c r="C12" s="16" t="s">
        <v>74</v>
      </c>
      <c r="D12" s="15">
        <v>0.25</v>
      </c>
      <c r="E12" s="15">
        <v>23.7</v>
      </c>
      <c r="F12" s="18">
        <v>1.1999999999999999E-6</v>
      </c>
      <c r="G12" s="15">
        <v>4.0999999999999996</v>
      </c>
      <c r="H12" s="15">
        <v>0.44</v>
      </c>
      <c r="I12" s="15">
        <v>0.4</v>
      </c>
      <c r="J12" s="18">
        <v>1E-4</v>
      </c>
      <c r="K12" s="18">
        <v>1.1E-4</v>
      </c>
      <c r="L12" s="15">
        <v>0.08</v>
      </c>
    </row>
    <row r="13" spans="1:12" ht="16" thickBot="1" x14ac:dyDescent="0.4">
      <c r="C13" s="21" t="s">
        <v>6</v>
      </c>
      <c r="D13" s="19">
        <v>3</v>
      </c>
      <c r="E13" s="19">
        <v>4</v>
      </c>
      <c r="F13" s="19">
        <v>18</v>
      </c>
      <c r="G13" s="19">
        <v>27</v>
      </c>
      <c r="H13" s="19">
        <v>5</v>
      </c>
      <c r="I13" s="19">
        <v>13</v>
      </c>
      <c r="J13" s="19">
        <v>270</v>
      </c>
      <c r="K13" s="19">
        <v>702</v>
      </c>
      <c r="L13" s="19">
        <v>8</v>
      </c>
    </row>
    <row r="14" spans="1:12" s="5" customFormat="1" x14ac:dyDescent="0.35"/>
    <row r="15" spans="1:12" ht="15.5" x14ac:dyDescent="0.35">
      <c r="C15" s="26" t="s">
        <v>89</v>
      </c>
      <c r="D15" s="132" t="s">
        <v>29</v>
      </c>
      <c r="E15" s="27" t="s">
        <v>90</v>
      </c>
      <c r="F15" s="7"/>
      <c r="G15" s="7"/>
      <c r="H15" s="7"/>
      <c r="I15" s="7"/>
    </row>
    <row r="16" spans="1:12" x14ac:dyDescent="0.35">
      <c r="D16" s="133"/>
      <c r="E16" t="s">
        <v>92</v>
      </c>
      <c r="F16" t="s">
        <v>91</v>
      </c>
    </row>
    <row r="17" spans="3:9" x14ac:dyDescent="0.35">
      <c r="D17" s="133"/>
      <c r="E17" t="s">
        <v>93</v>
      </c>
      <c r="F17" t="s">
        <v>94</v>
      </c>
    </row>
    <row r="19" spans="3:9" x14ac:dyDescent="0.35">
      <c r="C19" s="7" t="s">
        <v>95</v>
      </c>
      <c r="D19" s="132" t="s">
        <v>27</v>
      </c>
      <c r="E19" s="7" t="s">
        <v>96</v>
      </c>
      <c r="F19" s="7"/>
      <c r="G19" s="7"/>
      <c r="H19" s="7"/>
      <c r="I19" s="7"/>
    </row>
    <row r="20" spans="3:9" x14ac:dyDescent="0.35">
      <c r="D20" s="133"/>
      <c r="E20" t="s">
        <v>97</v>
      </c>
      <c r="F20" t="s">
        <v>98</v>
      </c>
    </row>
    <row r="22" spans="3:9" ht="15" customHeight="1" x14ac:dyDescent="0.35">
      <c r="C22" s="7" t="s">
        <v>99</v>
      </c>
      <c r="D22" s="132" t="s">
        <v>41</v>
      </c>
      <c r="E22" s="7" t="s">
        <v>96</v>
      </c>
      <c r="F22" s="7"/>
      <c r="G22" s="7"/>
      <c r="H22" s="7"/>
    </row>
    <row r="23" spans="3:9" x14ac:dyDescent="0.35">
      <c r="D23" s="133"/>
      <c r="E23" t="s">
        <v>100</v>
      </c>
      <c r="F23" t="s">
        <v>101</v>
      </c>
    </row>
    <row r="24" spans="3:9" x14ac:dyDescent="0.35">
      <c r="D24" s="133"/>
    </row>
    <row r="25" spans="3:9" x14ac:dyDescent="0.35">
      <c r="D25" s="133"/>
    </row>
    <row r="26" spans="3:9" x14ac:dyDescent="0.35">
      <c r="C26" s="7" t="s">
        <v>102</v>
      </c>
      <c r="D26" s="132" t="s">
        <v>39</v>
      </c>
      <c r="E26" s="7" t="s">
        <v>96</v>
      </c>
      <c r="F26" s="7"/>
      <c r="G26" s="7"/>
      <c r="H26" s="7"/>
      <c r="I26" s="7"/>
    </row>
    <row r="27" spans="3:9" x14ac:dyDescent="0.35">
      <c r="D27" s="133"/>
      <c r="E27" t="s">
        <v>104</v>
      </c>
      <c r="F27" t="s">
        <v>103</v>
      </c>
    </row>
    <row r="28" spans="3:9" x14ac:dyDescent="0.35">
      <c r="C28" s="7" t="s">
        <v>67</v>
      </c>
      <c r="D28" s="132" t="s">
        <v>68</v>
      </c>
      <c r="E28" s="7" t="s">
        <v>96</v>
      </c>
      <c r="F28" s="7"/>
      <c r="G28" s="7"/>
      <c r="H28" s="7"/>
      <c r="I28" s="7"/>
    </row>
    <row r="29" spans="3:9" x14ac:dyDescent="0.35">
      <c r="D29" s="133"/>
      <c r="E29" t="s">
        <v>105</v>
      </c>
      <c r="F29" t="s">
        <v>106</v>
      </c>
    </row>
    <row r="30" spans="3:9" x14ac:dyDescent="0.35">
      <c r="E30" t="s">
        <v>107</v>
      </c>
      <c r="F30">
        <v>2100</v>
      </c>
      <c r="G30" t="s">
        <v>108</v>
      </c>
    </row>
    <row r="31" spans="3:9" x14ac:dyDescent="0.35">
      <c r="F31">
        <v>700</v>
      </c>
      <c r="G31" t="s">
        <v>108</v>
      </c>
    </row>
    <row r="32" spans="3:9" x14ac:dyDescent="0.35">
      <c r="F32">
        <v>83</v>
      </c>
      <c r="G32" t="s">
        <v>108</v>
      </c>
    </row>
    <row r="33" spans="3:9" x14ac:dyDescent="0.35">
      <c r="F33">
        <v>630</v>
      </c>
      <c r="G33" t="s">
        <v>108</v>
      </c>
    </row>
    <row r="34" spans="3:9" x14ac:dyDescent="0.35">
      <c r="C34" s="7" t="s">
        <v>61</v>
      </c>
      <c r="D34" s="132" t="s">
        <v>109</v>
      </c>
      <c r="E34" s="7" t="s">
        <v>110</v>
      </c>
      <c r="F34" s="7"/>
      <c r="G34" s="7"/>
      <c r="H34" s="7"/>
      <c r="I34" s="7"/>
    </row>
    <row r="35" spans="3:9" x14ac:dyDescent="0.35">
      <c r="D35" s="133"/>
      <c r="E35" t="s">
        <v>111</v>
      </c>
      <c r="F35" t="s">
        <v>112</v>
      </c>
    </row>
  </sheetData>
  <mergeCells count="11">
    <mergeCell ref="D28:D29"/>
    <mergeCell ref="D34:D35"/>
    <mergeCell ref="D15:D17"/>
    <mergeCell ref="D22:D25"/>
    <mergeCell ref="D19:D20"/>
    <mergeCell ref="D26:D27"/>
    <mergeCell ref="H7:I7"/>
    <mergeCell ref="J7:K7"/>
    <mergeCell ref="D8:K8"/>
    <mergeCell ref="J5:K5"/>
    <mergeCell ref="H5:I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3B34-E18D-4307-ACA5-A23398DAF53A}">
  <dimension ref="A1:AO135"/>
  <sheetViews>
    <sheetView topLeftCell="W9" zoomScale="79" zoomScaleNormal="85" workbookViewId="0">
      <selection activeCell="H42" sqref="H42"/>
    </sheetView>
  </sheetViews>
  <sheetFormatPr defaultRowHeight="14.5" x14ac:dyDescent="0.35"/>
  <cols>
    <col min="1" max="1" width="19.453125" customWidth="1"/>
    <col min="2" max="2" width="13" customWidth="1"/>
    <col min="3" max="3" width="18.1796875" customWidth="1"/>
    <col min="8" max="8" width="13.1796875" customWidth="1"/>
    <col min="9" max="10" width="8.26953125" customWidth="1"/>
    <col min="11" max="11" width="10.26953125" customWidth="1"/>
    <col min="12" max="12" width="13.453125" customWidth="1"/>
    <col min="17" max="17" width="17.81640625" customWidth="1"/>
    <col min="18" max="18" width="10.7265625" customWidth="1"/>
    <col min="19" max="19" width="28" customWidth="1"/>
    <col min="20" max="20" width="12.81640625" customWidth="1"/>
    <col min="23" max="25" width="18.26953125" customWidth="1"/>
    <col min="26" max="26" width="10.7265625" customWidth="1"/>
    <col min="27" max="27" width="10.1796875" customWidth="1"/>
    <col min="28" max="28" width="12.1796875" bestFit="1" customWidth="1"/>
    <col min="29" max="29" width="9.26953125" bestFit="1" customWidth="1"/>
    <col min="30" max="30" width="11" bestFit="1" customWidth="1"/>
    <col min="31" max="31" width="9.26953125" bestFit="1" customWidth="1"/>
    <col min="32" max="32" width="11.81640625" bestFit="1" customWidth="1"/>
    <col min="34" max="34" width="60.453125" customWidth="1"/>
    <col min="35" max="35" width="45.7265625" customWidth="1"/>
    <col min="53" max="53" width="0" hidden="1" customWidth="1"/>
  </cols>
  <sheetData>
    <row r="1" spans="1:35" x14ac:dyDescent="0.35">
      <c r="A1" s="62" t="s">
        <v>241</v>
      </c>
      <c r="B1" s="62"/>
      <c r="C1" s="62"/>
      <c r="D1" s="62"/>
      <c r="E1" s="62"/>
      <c r="F1" s="62"/>
      <c r="G1" s="62"/>
      <c r="H1" s="62"/>
    </row>
    <row r="2" spans="1:35" x14ac:dyDescent="0.35">
      <c r="A2" s="5" t="s">
        <v>242</v>
      </c>
      <c r="B2" s="5"/>
      <c r="C2" s="5"/>
      <c r="D2" s="5"/>
      <c r="E2" s="5"/>
      <c r="F2" s="5"/>
      <c r="G2" s="5"/>
      <c r="H2" s="5"/>
    </row>
    <row r="3" spans="1:35" ht="16.5" customHeight="1" x14ac:dyDescent="0.35">
      <c r="A3" s="151" t="s">
        <v>257</v>
      </c>
      <c r="B3" s="151"/>
      <c r="C3" s="151"/>
      <c r="D3" s="151"/>
      <c r="E3" s="151"/>
      <c r="F3" s="151"/>
      <c r="G3" s="151"/>
      <c r="H3" s="151"/>
      <c r="I3" s="152" t="s">
        <v>181</v>
      </c>
      <c r="J3" s="152"/>
      <c r="K3" s="152"/>
      <c r="L3" s="152"/>
      <c r="M3" s="152"/>
      <c r="N3" s="152" t="s">
        <v>135</v>
      </c>
      <c r="O3" s="152"/>
      <c r="P3" s="152"/>
      <c r="Q3" s="135" t="s">
        <v>178</v>
      </c>
      <c r="R3" s="135" t="s">
        <v>136</v>
      </c>
      <c r="S3" s="135" t="s">
        <v>188</v>
      </c>
      <c r="T3" s="135" t="s">
        <v>137</v>
      </c>
      <c r="U3" s="152" t="s">
        <v>138</v>
      </c>
      <c r="V3" s="135" t="s">
        <v>230</v>
      </c>
      <c r="W3" s="135" t="s">
        <v>139</v>
      </c>
      <c r="X3" s="135" t="s">
        <v>140</v>
      </c>
      <c r="Y3" s="135" t="s">
        <v>141</v>
      </c>
      <c r="Z3" s="152" t="s">
        <v>151</v>
      </c>
      <c r="AA3" s="152" t="s">
        <v>152</v>
      </c>
      <c r="AB3" t="s">
        <v>151</v>
      </c>
      <c r="AC3" t="s">
        <v>152</v>
      </c>
      <c r="AD3" t="s">
        <v>151</v>
      </c>
      <c r="AE3" t="s">
        <v>152</v>
      </c>
      <c r="AF3" t="s">
        <v>151</v>
      </c>
      <c r="AG3" t="s">
        <v>152</v>
      </c>
      <c r="AH3" s="152" t="s">
        <v>142</v>
      </c>
      <c r="AI3" s="135" t="s">
        <v>143</v>
      </c>
    </row>
    <row r="4" spans="1:35" ht="32.25" customHeight="1" x14ac:dyDescent="0.35">
      <c r="A4" s="36"/>
      <c r="B4" s="32"/>
      <c r="C4" s="32"/>
      <c r="D4" s="36"/>
      <c r="E4" s="32"/>
      <c r="F4" s="32"/>
      <c r="G4" s="32"/>
      <c r="H4" s="32"/>
      <c r="I4" s="135" t="s">
        <v>144</v>
      </c>
      <c r="J4" s="135"/>
      <c r="K4" s="135"/>
      <c r="L4" s="32" t="s">
        <v>145</v>
      </c>
      <c r="M4" s="135" t="s">
        <v>231</v>
      </c>
      <c r="N4" s="135" t="s">
        <v>146</v>
      </c>
      <c r="O4" s="135" t="s">
        <v>147</v>
      </c>
      <c r="P4" s="135" t="s">
        <v>150</v>
      </c>
      <c r="Q4" s="135"/>
      <c r="R4" s="135"/>
      <c r="S4" s="135"/>
      <c r="T4" s="135"/>
      <c r="U4" s="152"/>
      <c r="V4" s="135"/>
      <c r="W4" s="135"/>
      <c r="X4" s="135"/>
      <c r="Y4" s="135"/>
      <c r="Z4" s="152"/>
      <c r="AA4" s="152"/>
      <c r="AB4" s="135" t="s">
        <v>153</v>
      </c>
      <c r="AC4" s="135" t="s">
        <v>153</v>
      </c>
      <c r="AD4" s="135" t="s">
        <v>154</v>
      </c>
      <c r="AE4" s="135" t="s">
        <v>154</v>
      </c>
      <c r="AF4" s="152" t="s">
        <v>155</v>
      </c>
      <c r="AG4" s="152" t="s">
        <v>155</v>
      </c>
      <c r="AH4" s="152"/>
      <c r="AI4" s="135"/>
    </row>
    <row r="5" spans="1:35" ht="58.5" customHeight="1" thickBot="1" x14ac:dyDescent="0.4">
      <c r="A5" s="36" t="s">
        <v>133</v>
      </c>
      <c r="B5" s="32" t="s">
        <v>185</v>
      </c>
      <c r="C5" s="32" t="s">
        <v>171</v>
      </c>
      <c r="D5" s="36" t="s">
        <v>134</v>
      </c>
      <c r="E5" s="32" t="s">
        <v>174</v>
      </c>
      <c r="F5" s="32" t="s">
        <v>173</v>
      </c>
      <c r="G5" s="32" t="s">
        <v>179</v>
      </c>
      <c r="H5" s="32" t="s">
        <v>148</v>
      </c>
      <c r="I5" s="30" t="s">
        <v>183</v>
      </c>
      <c r="J5" s="30" t="s">
        <v>80</v>
      </c>
      <c r="K5" s="30" t="s">
        <v>81</v>
      </c>
      <c r="L5" s="30" t="s">
        <v>184</v>
      </c>
      <c r="M5" s="154"/>
      <c r="N5" s="154"/>
      <c r="O5" s="154"/>
      <c r="P5" s="154"/>
      <c r="Q5" s="154"/>
      <c r="R5" s="154"/>
      <c r="S5" s="154"/>
      <c r="T5" s="154"/>
      <c r="U5" s="153"/>
      <c r="V5" s="154"/>
      <c r="W5" s="154"/>
      <c r="X5" s="154"/>
      <c r="Y5" s="154"/>
      <c r="Z5" s="153"/>
      <c r="AA5" s="153"/>
      <c r="AB5" s="135"/>
      <c r="AC5" s="135"/>
      <c r="AD5" s="135"/>
      <c r="AE5" s="135"/>
      <c r="AF5" s="152"/>
      <c r="AG5" s="152"/>
      <c r="AH5" s="31"/>
      <c r="AI5" s="30"/>
    </row>
    <row r="6" spans="1:35" ht="15.75" customHeight="1" x14ac:dyDescent="0.35">
      <c r="A6" s="150" t="s">
        <v>149</v>
      </c>
      <c r="B6" s="39" t="s">
        <v>156</v>
      </c>
      <c r="C6" s="39" t="s">
        <v>172</v>
      </c>
      <c r="D6" s="39">
        <v>6.7</v>
      </c>
      <c r="E6" s="39"/>
      <c r="F6" s="39">
        <v>1500</v>
      </c>
      <c r="G6" s="40" t="s">
        <v>180</v>
      </c>
      <c r="H6" s="39">
        <v>37</v>
      </c>
      <c r="I6" s="39" t="s">
        <v>182</v>
      </c>
      <c r="J6" s="39" t="s">
        <v>182</v>
      </c>
      <c r="K6" s="41">
        <f>5/1000*14</f>
        <v>7.0000000000000007E-2</v>
      </c>
      <c r="L6" s="41">
        <f>(1.46+5.44)/1000000*3*30.974</f>
        <v>6.4116180000000007E-4</v>
      </c>
      <c r="M6" s="39" t="s">
        <v>182</v>
      </c>
      <c r="N6" s="39"/>
      <c r="O6" s="39"/>
      <c r="P6" s="39"/>
      <c r="Q6" s="39" t="s">
        <v>192</v>
      </c>
      <c r="R6" s="39">
        <v>1.55</v>
      </c>
      <c r="S6" s="39" t="s">
        <v>189</v>
      </c>
      <c r="T6" s="39"/>
      <c r="U6" s="39">
        <v>2</v>
      </c>
      <c r="V6" s="39">
        <v>12</v>
      </c>
      <c r="W6" s="39"/>
      <c r="X6" s="39"/>
      <c r="Y6" s="39"/>
      <c r="Z6" s="39"/>
      <c r="AA6" s="39"/>
      <c r="AB6" s="64">
        <v>8.32</v>
      </c>
      <c r="AC6" s="65">
        <v>0.1137532</v>
      </c>
      <c r="AD6" s="64">
        <v>10.956666666666667</v>
      </c>
      <c r="AE6" s="65">
        <v>0.1611435</v>
      </c>
      <c r="AF6" s="64">
        <v>0</v>
      </c>
      <c r="AG6" s="65">
        <v>1.2328700000000001E-2</v>
      </c>
      <c r="AH6" s="155" t="s">
        <v>176</v>
      </c>
      <c r="AI6" s="155" t="s">
        <v>175</v>
      </c>
    </row>
    <row r="7" spans="1:35" ht="15.5" x14ac:dyDescent="0.35">
      <c r="A7" s="140"/>
      <c r="Q7" t="s">
        <v>193</v>
      </c>
      <c r="AB7" s="66">
        <v>9.8066666666666684</v>
      </c>
      <c r="AC7" s="67">
        <v>0.13394500000000001</v>
      </c>
      <c r="AD7" s="66">
        <v>11.123333333333335</v>
      </c>
      <c r="AE7" s="67">
        <v>0.12669495</v>
      </c>
      <c r="AF7" s="66">
        <v>5.6</v>
      </c>
      <c r="AG7" s="67">
        <v>3.2776300000000001E-2</v>
      </c>
      <c r="AH7" s="135"/>
      <c r="AI7" s="135"/>
    </row>
    <row r="8" spans="1:35" ht="15.5" x14ac:dyDescent="0.35">
      <c r="A8" s="140"/>
      <c r="Q8" t="s">
        <v>194</v>
      </c>
      <c r="AB8" s="66">
        <v>19.08666666666667</v>
      </c>
      <c r="AC8" s="67">
        <v>0.87241000000000002</v>
      </c>
      <c r="AD8" s="66">
        <v>21.006666666666664</v>
      </c>
      <c r="AE8" s="67">
        <v>1.2458879999999999</v>
      </c>
      <c r="AF8" s="66">
        <v>10.116666666666669</v>
      </c>
      <c r="AG8" s="67">
        <v>0.11902500000000001</v>
      </c>
      <c r="AH8" s="135"/>
      <c r="AI8" s="135"/>
    </row>
    <row r="9" spans="1:35" ht="15.5" x14ac:dyDescent="0.35">
      <c r="A9" s="140"/>
      <c r="AB9" s="66">
        <v>20.49</v>
      </c>
      <c r="AC9" s="67">
        <v>1.1814749999999998</v>
      </c>
      <c r="AD9" s="66">
        <v>21.106666666666662</v>
      </c>
      <c r="AE9" s="67">
        <v>1.216912</v>
      </c>
      <c r="AF9" s="66">
        <v>10.766666666666669</v>
      </c>
      <c r="AG9" s="67">
        <v>0.12584295000000001</v>
      </c>
      <c r="AH9" s="135" t="s">
        <v>177</v>
      </c>
      <c r="AI9" s="135"/>
    </row>
    <row r="10" spans="1:35" ht="15.5" x14ac:dyDescent="0.35">
      <c r="A10" s="140"/>
      <c r="AB10" s="66">
        <v>20.786666666666665</v>
      </c>
      <c r="AC10" s="67">
        <v>1.17832</v>
      </c>
      <c r="AD10" s="66">
        <v>22.79</v>
      </c>
      <c r="AE10" s="67">
        <v>1.7823119999999999</v>
      </c>
      <c r="AF10" s="66">
        <v>21.366666666666667</v>
      </c>
      <c r="AG10" s="67">
        <v>1.6065</v>
      </c>
      <c r="AH10" s="135"/>
      <c r="AI10" s="135"/>
    </row>
    <row r="11" spans="1:35" ht="15.5" x14ac:dyDescent="0.35">
      <c r="A11" s="140"/>
      <c r="AB11" s="66">
        <v>22.806666666666668</v>
      </c>
      <c r="AC11" s="67">
        <v>1.6264749999999999</v>
      </c>
      <c r="AD11" s="66">
        <v>23.873333333333331</v>
      </c>
      <c r="AE11" s="67">
        <v>2.0721539999999998</v>
      </c>
      <c r="AF11" s="66">
        <v>21.55</v>
      </c>
      <c r="AG11" s="67">
        <v>1.3396185</v>
      </c>
      <c r="AH11" s="135"/>
      <c r="AI11" s="135"/>
    </row>
    <row r="12" spans="1:35" ht="15.75" customHeight="1" x14ac:dyDescent="0.35">
      <c r="A12" s="140"/>
      <c r="AB12" s="66">
        <v>23.42</v>
      </c>
      <c r="AC12" s="67">
        <v>1.7788099999999998</v>
      </c>
      <c r="AD12" s="66">
        <v>24.323333333333334</v>
      </c>
      <c r="AE12" s="67">
        <v>2.089458</v>
      </c>
      <c r="AF12" s="66">
        <v>23.433333333333337</v>
      </c>
      <c r="AG12" s="67">
        <v>2.2882500000000001</v>
      </c>
      <c r="AH12" s="135" t="s">
        <v>187</v>
      </c>
    </row>
    <row r="13" spans="1:35" ht="15.5" x14ac:dyDescent="0.35">
      <c r="A13" s="140"/>
      <c r="AB13" s="66">
        <v>24.003333333333337</v>
      </c>
      <c r="AC13" s="67">
        <v>1.9328979999999998</v>
      </c>
      <c r="AD13" s="66">
        <v>24.77333333333333</v>
      </c>
      <c r="AE13" s="67">
        <v>2.3187359999999999</v>
      </c>
      <c r="AF13" s="66">
        <v>24.31666666666667</v>
      </c>
      <c r="AG13" s="67">
        <v>2.5267500000000003</v>
      </c>
      <c r="AH13" s="135"/>
    </row>
    <row r="14" spans="1:35" ht="15.5" x14ac:dyDescent="0.35">
      <c r="A14" s="140"/>
      <c r="AB14" s="66">
        <v>24.64</v>
      </c>
      <c r="AC14" s="67">
        <v>1.9913749999999999</v>
      </c>
      <c r="AD14" s="66">
        <v>25.306666666666668</v>
      </c>
      <c r="AE14" s="67">
        <v>2.3338769999999998</v>
      </c>
      <c r="AF14" s="66">
        <v>24.883333333333333</v>
      </c>
      <c r="AG14" s="67">
        <v>2.5920000000000001</v>
      </c>
      <c r="AH14" s="133" t="s">
        <v>190</v>
      </c>
    </row>
    <row r="15" spans="1:35" ht="15.5" x14ac:dyDescent="0.35">
      <c r="A15" s="140"/>
      <c r="AB15" s="66">
        <v>24.72</v>
      </c>
      <c r="AC15" s="67">
        <v>2.0847199999999999</v>
      </c>
      <c r="AD15" s="66">
        <v>25.77333333333333</v>
      </c>
      <c r="AE15" s="67">
        <v>2.5566659999999999</v>
      </c>
      <c r="AF15" s="66">
        <v>25.466666666666669</v>
      </c>
      <c r="AG15" s="67">
        <v>2.7832499999999998</v>
      </c>
      <c r="AH15" s="133"/>
    </row>
    <row r="16" spans="1:35" ht="15.75" customHeight="1" x14ac:dyDescent="0.35">
      <c r="A16" s="140"/>
      <c r="AB16" s="66">
        <v>25.24</v>
      </c>
      <c r="AC16" s="67">
        <v>2.11375</v>
      </c>
      <c r="AD16" s="66">
        <v>25.79</v>
      </c>
      <c r="AE16" s="67">
        <v>2.2236664999999998</v>
      </c>
      <c r="AF16" s="66">
        <v>26.116666666666667</v>
      </c>
      <c r="AG16" s="67">
        <v>2.871</v>
      </c>
      <c r="AH16" s="133" t="s">
        <v>191</v>
      </c>
    </row>
    <row r="17" spans="1:35" ht="15.5" x14ac:dyDescent="0.35">
      <c r="A17" s="140"/>
      <c r="AB17" s="66">
        <v>25.253333333333337</v>
      </c>
      <c r="AC17" s="67">
        <v>2.1776259999999996</v>
      </c>
      <c r="AD17" s="66">
        <v>26.24</v>
      </c>
      <c r="AE17" s="67">
        <v>2.5038765000000001</v>
      </c>
      <c r="AF17" s="66">
        <v>26.316666666666666</v>
      </c>
      <c r="AG17" s="67">
        <v>2.5679780000000001</v>
      </c>
      <c r="AH17" s="133"/>
    </row>
    <row r="18" spans="1:35" ht="15.5" x14ac:dyDescent="0.35">
      <c r="A18" s="140"/>
      <c r="AB18" s="66">
        <v>25.773333333333337</v>
      </c>
      <c r="AC18" s="67">
        <v>2.2917500000000004</v>
      </c>
      <c r="AD18" s="66">
        <v>26.573333333333334</v>
      </c>
      <c r="AE18" s="67">
        <v>2.6583269999999999</v>
      </c>
      <c r="AF18" s="70">
        <v>28.333333333333336</v>
      </c>
      <c r="AG18" s="71">
        <v>3.7102499999999998</v>
      </c>
      <c r="AH18" s="133"/>
    </row>
    <row r="19" spans="1:35" ht="15.5" x14ac:dyDescent="0.35">
      <c r="A19" s="140"/>
      <c r="AB19" s="66">
        <v>26.286666666666669</v>
      </c>
      <c r="AC19" s="67">
        <v>2.4631419999999999</v>
      </c>
      <c r="AD19" s="66">
        <v>26.823333333333334</v>
      </c>
      <c r="AE19" s="67">
        <v>2.3977970000000002</v>
      </c>
      <c r="AH19" s="133"/>
    </row>
    <row r="20" spans="1:35" ht="15.5" x14ac:dyDescent="0.35">
      <c r="A20" s="140"/>
      <c r="AB20" s="66">
        <v>26.406666666666666</v>
      </c>
      <c r="AC20" s="67">
        <v>2.4319250000000001</v>
      </c>
      <c r="AD20" s="66">
        <v>27.29</v>
      </c>
      <c r="AE20" s="67">
        <v>2.5759304999999997</v>
      </c>
      <c r="AH20" s="133"/>
    </row>
    <row r="21" spans="1:35" ht="15.5" x14ac:dyDescent="0.35">
      <c r="A21" s="140"/>
      <c r="AB21" s="66">
        <v>27.286666666666672</v>
      </c>
      <c r="AC21" s="67">
        <v>2.7894459999999999</v>
      </c>
      <c r="AD21" s="66">
        <v>27.656666666666666</v>
      </c>
      <c r="AE21" s="67">
        <v>3.051993</v>
      </c>
      <c r="AH21" s="133"/>
    </row>
    <row r="22" spans="1:35" ht="15.5" x14ac:dyDescent="0.35">
      <c r="A22" s="140"/>
      <c r="AB22" s="66">
        <v>28.14</v>
      </c>
      <c r="AC22" s="67">
        <v>3.0438000000000001</v>
      </c>
      <c r="AD22" s="66">
        <v>28.273333333333337</v>
      </c>
      <c r="AE22" s="67">
        <v>3.0022500000000001</v>
      </c>
      <c r="AH22" s="59" t="s">
        <v>221</v>
      </c>
    </row>
    <row r="23" spans="1:35" ht="14.25" customHeight="1" x14ac:dyDescent="0.35">
      <c r="A23" s="141"/>
      <c r="AB23" s="68"/>
      <c r="AC23" s="69"/>
      <c r="AD23" s="70">
        <v>28.873333333333335</v>
      </c>
      <c r="AE23" s="71">
        <v>3.4746039999999998</v>
      </c>
      <c r="AG23" s="42"/>
      <c r="AH23" s="60" t="s">
        <v>238</v>
      </c>
      <c r="AI23" s="42"/>
    </row>
    <row r="24" spans="1:35" ht="18" customHeight="1" x14ac:dyDescent="0.35">
      <c r="A24" s="139" t="s">
        <v>195</v>
      </c>
      <c r="B24" s="7" t="s">
        <v>156</v>
      </c>
      <c r="C24" s="7" t="s">
        <v>172</v>
      </c>
      <c r="D24" s="7">
        <v>6.7</v>
      </c>
      <c r="E24" s="7"/>
      <c r="F24" s="7">
        <v>1500</v>
      </c>
      <c r="G24" s="43" t="s">
        <v>180</v>
      </c>
      <c r="H24" s="7">
        <v>37</v>
      </c>
      <c r="I24" s="7" t="s">
        <v>182</v>
      </c>
      <c r="J24" s="7" t="s">
        <v>182</v>
      </c>
      <c r="K24" s="44">
        <f>5/1000*14</f>
        <v>7.0000000000000007E-2</v>
      </c>
      <c r="L24" s="44">
        <f>(1.46+5.44)/1000000*3*30.974</f>
        <v>6.4116180000000007E-4</v>
      </c>
      <c r="M24" s="7" t="s">
        <v>182</v>
      </c>
      <c r="N24" s="7"/>
      <c r="O24" s="7"/>
      <c r="P24" s="7"/>
      <c r="Q24" s="7" t="s">
        <v>192</v>
      </c>
      <c r="R24" s="7">
        <v>1.55</v>
      </c>
      <c r="S24" s="7" t="s">
        <v>189</v>
      </c>
      <c r="T24" s="7"/>
      <c r="U24" s="7">
        <v>2</v>
      </c>
      <c r="V24" s="7">
        <v>12</v>
      </c>
      <c r="W24" s="7"/>
      <c r="X24" s="7"/>
      <c r="Y24" s="7"/>
      <c r="Z24" s="7"/>
      <c r="AA24" s="7"/>
      <c r="AB24" s="64">
        <v>21.383333333333333</v>
      </c>
      <c r="AC24" s="65">
        <v>0.72619652289164949</v>
      </c>
      <c r="AD24" s="64">
        <v>26.199999999999996</v>
      </c>
      <c r="AE24" s="65">
        <v>2.0967596559514168</v>
      </c>
      <c r="AF24" s="7"/>
      <c r="AH24" s="61" t="s">
        <v>238</v>
      </c>
    </row>
    <row r="25" spans="1:35" ht="15.5" x14ac:dyDescent="0.35">
      <c r="A25" s="140"/>
      <c r="Q25" t="s">
        <v>193</v>
      </c>
      <c r="AB25" s="66">
        <v>22.81666666666667</v>
      </c>
      <c r="AC25" s="67">
        <v>0.90254485688629826</v>
      </c>
      <c r="AD25" s="66">
        <v>31.5</v>
      </c>
      <c r="AE25" s="67">
        <v>3.74212932935218</v>
      </c>
      <c r="AH25" s="135" t="s">
        <v>176</v>
      </c>
    </row>
    <row r="26" spans="1:35" ht="15.5" x14ac:dyDescent="0.35">
      <c r="A26" s="140"/>
      <c r="AB26" s="66">
        <v>25.416666666666664</v>
      </c>
      <c r="AC26" s="67">
        <v>1.5049515469930015</v>
      </c>
      <c r="AD26" s="66">
        <v>45.883333333333333</v>
      </c>
      <c r="AE26" s="67">
        <v>6.459336197412882</v>
      </c>
      <c r="AH26" s="135"/>
    </row>
    <row r="27" spans="1:35" ht="15.5" x14ac:dyDescent="0.35">
      <c r="A27" s="140"/>
      <c r="AB27" s="66">
        <v>29</v>
      </c>
      <c r="AC27" s="67">
        <v>2.4648327185025143</v>
      </c>
      <c r="AD27" s="66">
        <v>71.566666666666663</v>
      </c>
      <c r="AE27" s="67">
        <v>11.255385544178067</v>
      </c>
      <c r="AH27" s="135"/>
    </row>
    <row r="28" spans="1:35" ht="15.5" x14ac:dyDescent="0.35">
      <c r="A28" s="140"/>
      <c r="AB28" s="66">
        <v>51.666666666666664</v>
      </c>
      <c r="AC28" s="67">
        <v>7.5943911109210775</v>
      </c>
      <c r="AD28" s="66">
        <v>101.61666666666666</v>
      </c>
      <c r="AE28" s="67">
        <v>15.405861511174132</v>
      </c>
    </row>
    <row r="29" spans="1:35" ht="15.5" x14ac:dyDescent="0.35">
      <c r="A29" s="140"/>
      <c r="AB29" s="66">
        <v>55.31666666666667</v>
      </c>
      <c r="AC29" s="67">
        <v>8.2614058187893065</v>
      </c>
      <c r="AD29" s="66">
        <v>119.95</v>
      </c>
      <c r="AE29" s="67">
        <v>17.793357662382054</v>
      </c>
    </row>
    <row r="30" spans="1:35" ht="15.5" x14ac:dyDescent="0.35">
      <c r="A30" s="140"/>
      <c r="AB30" s="66">
        <v>73.650000000000006</v>
      </c>
      <c r="AC30" s="67">
        <v>11.080313184870716</v>
      </c>
      <c r="AD30" s="72"/>
      <c r="AE30" s="73"/>
    </row>
    <row r="31" spans="1:35" ht="15.5" x14ac:dyDescent="0.35">
      <c r="A31" s="140"/>
      <c r="AB31" s="66">
        <v>78.533333333333331</v>
      </c>
      <c r="AC31" s="67">
        <v>12.231534307395874</v>
      </c>
      <c r="AD31" s="72"/>
      <c r="AE31" s="73"/>
    </row>
    <row r="32" spans="1:35" ht="15.5" x14ac:dyDescent="0.35">
      <c r="A32" s="140"/>
      <c r="AB32" s="66">
        <v>96.55</v>
      </c>
      <c r="AC32" s="67">
        <v>17.039839595124203</v>
      </c>
      <c r="AD32" s="72"/>
      <c r="AE32" s="73"/>
    </row>
    <row r="33" spans="1:35" ht="15.5" x14ac:dyDescent="0.35">
      <c r="A33" s="140"/>
      <c r="AB33" s="66">
        <v>103.8</v>
      </c>
      <c r="AC33" s="67">
        <v>14.388521522475523</v>
      </c>
      <c r="AD33" s="72"/>
      <c r="AE33" s="73"/>
    </row>
    <row r="34" spans="1:35" ht="15.5" x14ac:dyDescent="0.35">
      <c r="A34" s="140"/>
      <c r="AB34" s="66">
        <v>120.03333333333333</v>
      </c>
      <c r="AC34" s="67">
        <v>20.489355245109241</v>
      </c>
      <c r="AD34" s="72"/>
      <c r="AE34" s="73"/>
    </row>
    <row r="35" spans="1:35" ht="15.5" x14ac:dyDescent="0.35">
      <c r="A35" s="141"/>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70">
        <v>143.53333333333333</v>
      </c>
      <c r="AC35" s="71">
        <v>23.262442554014218</v>
      </c>
      <c r="AD35" s="74"/>
      <c r="AE35" s="75"/>
      <c r="AF35" s="42"/>
      <c r="AG35" s="42"/>
      <c r="AH35" s="42"/>
      <c r="AI35" s="42"/>
    </row>
    <row r="36" spans="1:35" ht="18" customHeight="1" x14ac:dyDescent="0.35">
      <c r="A36" s="136" t="s">
        <v>196</v>
      </c>
      <c r="B36" s="7" t="s">
        <v>156</v>
      </c>
      <c r="C36" s="7" t="s">
        <v>172</v>
      </c>
      <c r="D36" s="7">
        <v>7</v>
      </c>
      <c r="E36" s="7"/>
      <c r="F36" s="7">
        <v>2000</v>
      </c>
      <c r="G36" s="7"/>
      <c r="H36" s="7">
        <v>37</v>
      </c>
      <c r="I36" s="44" t="s">
        <v>182</v>
      </c>
      <c r="J36" s="44" t="s">
        <v>182</v>
      </c>
      <c r="K36" s="44">
        <f>443/1000</f>
        <v>0.443</v>
      </c>
      <c r="L36" s="44">
        <f>214/1000</f>
        <v>0.214</v>
      </c>
      <c r="M36" s="44" t="s">
        <v>182</v>
      </c>
      <c r="N36" s="7"/>
      <c r="O36" s="7"/>
      <c r="P36" s="7"/>
      <c r="Q36" s="7"/>
      <c r="R36" s="7"/>
      <c r="S36" s="7"/>
      <c r="T36" s="7"/>
      <c r="U36" s="7"/>
      <c r="V36" s="7">
        <v>250</v>
      </c>
      <c r="W36" s="7"/>
      <c r="X36" s="7"/>
      <c r="Y36" s="7"/>
      <c r="Z36" s="64">
        <v>0</v>
      </c>
      <c r="AA36" s="76">
        <v>5.0600000000000003E-3</v>
      </c>
      <c r="AB36" s="7"/>
      <c r="AC36" s="7"/>
      <c r="AD36" s="7"/>
      <c r="AE36" s="7"/>
      <c r="AF36" s="7"/>
      <c r="AG36" s="7"/>
      <c r="AH36" s="143" t="s">
        <v>219</v>
      </c>
      <c r="AI36" s="7" t="s">
        <v>222</v>
      </c>
    </row>
    <row r="37" spans="1:35" ht="15.5" x14ac:dyDescent="0.35">
      <c r="A37" s="137"/>
      <c r="I37" s="38"/>
      <c r="J37" s="38"/>
      <c r="K37" s="38"/>
      <c r="L37" s="38"/>
      <c r="M37" s="38"/>
      <c r="Z37" s="66">
        <v>18.500000000000014</v>
      </c>
      <c r="AA37" s="77">
        <v>0.1628</v>
      </c>
      <c r="AH37" s="144"/>
    </row>
    <row r="38" spans="1:35" ht="15.5" x14ac:dyDescent="0.35">
      <c r="A38" s="137"/>
      <c r="I38" s="38"/>
      <c r="J38" s="38"/>
      <c r="K38" s="38"/>
      <c r="L38" s="38"/>
      <c r="M38" s="38"/>
      <c r="Z38" s="66">
        <v>18.516666666666652</v>
      </c>
      <c r="AA38" s="77">
        <v>0.15751999999999999</v>
      </c>
      <c r="AH38" s="144"/>
    </row>
    <row r="39" spans="1:35" ht="15.5" x14ac:dyDescent="0.35">
      <c r="A39" s="137"/>
      <c r="I39" s="38"/>
      <c r="J39" s="38"/>
      <c r="K39" s="38"/>
      <c r="L39" s="38"/>
      <c r="M39" s="38"/>
      <c r="Z39" s="66">
        <v>23.166666666666686</v>
      </c>
      <c r="AA39" s="77">
        <v>0.20019999999999999</v>
      </c>
      <c r="AH39" s="36" t="s">
        <v>228</v>
      </c>
    </row>
    <row r="40" spans="1:35" ht="15.5" x14ac:dyDescent="0.35">
      <c r="A40" s="137"/>
      <c r="I40" s="38"/>
      <c r="J40" s="38"/>
      <c r="K40" s="38"/>
      <c r="L40" s="38"/>
      <c r="M40" s="38"/>
      <c r="Z40" s="66">
        <v>42.166666666666671</v>
      </c>
      <c r="AA40" s="77">
        <v>0.34649999999999997</v>
      </c>
      <c r="AH40" s="36" t="s">
        <v>220</v>
      </c>
    </row>
    <row r="41" spans="1:35" ht="15.5" x14ac:dyDescent="0.35">
      <c r="A41" s="137"/>
      <c r="I41" s="38"/>
      <c r="J41" s="38"/>
      <c r="K41" s="38"/>
      <c r="L41" s="38"/>
      <c r="M41" s="38"/>
      <c r="Z41" s="66">
        <v>42.166666666666671</v>
      </c>
      <c r="AA41" s="77">
        <v>0.34320000000000001</v>
      </c>
      <c r="AH41" s="58" t="s">
        <v>229</v>
      </c>
    </row>
    <row r="42" spans="1:35" ht="15.5" x14ac:dyDescent="0.35">
      <c r="A42" s="137"/>
      <c r="I42" s="38"/>
      <c r="J42" s="38"/>
      <c r="K42" s="38"/>
      <c r="L42" s="38"/>
      <c r="M42" s="38"/>
      <c r="Z42" s="66">
        <v>45.9166666666667</v>
      </c>
      <c r="AA42" s="77">
        <v>0.39159999999999995</v>
      </c>
      <c r="AH42" s="36"/>
    </row>
    <row r="43" spans="1:35" ht="15.5" x14ac:dyDescent="0.35">
      <c r="A43" s="137"/>
      <c r="I43" s="38"/>
      <c r="J43" s="38"/>
      <c r="K43" s="38"/>
      <c r="L43" s="38"/>
      <c r="M43" s="38"/>
      <c r="Z43" s="66">
        <v>45.9166666666667</v>
      </c>
      <c r="AA43" s="77">
        <v>0.37949999999999995</v>
      </c>
      <c r="AH43" s="135" t="s">
        <v>225</v>
      </c>
    </row>
    <row r="44" spans="1:35" ht="15.5" x14ac:dyDescent="0.35">
      <c r="A44" s="137"/>
      <c r="I44" s="38"/>
      <c r="J44" s="38"/>
      <c r="K44" s="38"/>
      <c r="L44" s="38"/>
      <c r="M44" s="38"/>
      <c r="Z44" s="66">
        <v>111.16666666666667</v>
      </c>
      <c r="AA44" s="77">
        <v>0.75679999999999992</v>
      </c>
      <c r="AH44" s="135"/>
    </row>
    <row r="45" spans="1:35" ht="15.5" x14ac:dyDescent="0.35">
      <c r="A45" s="137"/>
      <c r="I45" s="38"/>
      <c r="J45" s="38"/>
      <c r="K45" s="38"/>
      <c r="L45" s="38"/>
      <c r="M45" s="38"/>
      <c r="Z45" s="66">
        <v>111.16666666666667</v>
      </c>
      <c r="AA45" s="77">
        <v>0.7831999999999999</v>
      </c>
      <c r="AH45" s="135"/>
    </row>
    <row r="46" spans="1:35" ht="15.5" x14ac:dyDescent="0.35">
      <c r="A46" s="137"/>
      <c r="I46" s="38"/>
      <c r="J46" s="38"/>
      <c r="K46" s="38"/>
      <c r="L46" s="38"/>
      <c r="M46" s="38"/>
      <c r="Z46" s="66">
        <v>117.91666666666667</v>
      </c>
      <c r="AA46" s="77">
        <v>0.8448</v>
      </c>
      <c r="AH46" s="135"/>
    </row>
    <row r="47" spans="1:35" ht="15.5" x14ac:dyDescent="0.35">
      <c r="A47" s="137"/>
      <c r="I47" s="38"/>
      <c r="J47" s="38"/>
      <c r="K47" s="38"/>
      <c r="L47" s="38"/>
      <c r="M47" s="38"/>
      <c r="Z47" s="66">
        <v>134.91666666666669</v>
      </c>
      <c r="AA47" s="77">
        <v>0.88880000000000003</v>
      </c>
      <c r="AH47" s="36"/>
    </row>
    <row r="48" spans="1:35" ht="15.5" x14ac:dyDescent="0.35">
      <c r="A48" s="137"/>
      <c r="I48" s="38"/>
      <c r="J48" s="38"/>
      <c r="K48" s="38"/>
      <c r="L48" s="38"/>
      <c r="M48" s="38"/>
      <c r="Z48" s="66">
        <v>134.91666666666669</v>
      </c>
      <c r="AA48" s="77">
        <v>0.93280000000000007</v>
      </c>
      <c r="AH48" s="36"/>
    </row>
    <row r="49" spans="1:35" ht="15.5" x14ac:dyDescent="0.35">
      <c r="A49" s="137"/>
      <c r="I49" s="38"/>
      <c r="J49" s="38"/>
      <c r="K49" s="38"/>
      <c r="L49" s="38"/>
      <c r="M49" s="38"/>
      <c r="Z49" s="66">
        <v>140.41666666666669</v>
      </c>
      <c r="AA49" s="77">
        <v>0.97240000000000004</v>
      </c>
      <c r="AH49" s="36"/>
    </row>
    <row r="50" spans="1:35" ht="15.5" x14ac:dyDescent="0.35">
      <c r="A50" s="137"/>
      <c r="I50" s="38"/>
      <c r="J50" s="38"/>
      <c r="K50" s="38"/>
      <c r="L50" s="38"/>
      <c r="M50" s="38"/>
      <c r="Z50" s="66">
        <v>160</v>
      </c>
      <c r="AA50" s="77">
        <v>1.0208000000000002</v>
      </c>
      <c r="AH50" s="36"/>
    </row>
    <row r="51" spans="1:35" ht="15.5" x14ac:dyDescent="0.35">
      <c r="A51" s="137"/>
      <c r="I51" s="38"/>
      <c r="J51" s="38"/>
      <c r="K51" s="38"/>
      <c r="L51" s="38"/>
      <c r="M51" s="38"/>
      <c r="Z51" s="66">
        <v>166.00000000000003</v>
      </c>
      <c r="AA51" s="77">
        <v>1.0427999999999999</v>
      </c>
      <c r="AH51" s="36"/>
    </row>
    <row r="52" spans="1:35" ht="15.5" x14ac:dyDescent="0.35">
      <c r="A52" s="137"/>
      <c r="I52" s="38"/>
      <c r="J52" s="38"/>
      <c r="K52" s="38"/>
      <c r="L52" s="38"/>
      <c r="M52" s="38"/>
      <c r="Z52" s="66">
        <v>185.50000000000003</v>
      </c>
      <c r="AA52" s="77">
        <v>1.1088</v>
      </c>
      <c r="AH52" s="36"/>
    </row>
    <row r="53" spans="1:35" ht="15.5" x14ac:dyDescent="0.35">
      <c r="A53" s="137"/>
      <c r="I53" s="38"/>
      <c r="J53" s="38"/>
      <c r="K53" s="38"/>
      <c r="L53" s="38"/>
      <c r="M53" s="38"/>
      <c r="Z53" s="66">
        <v>190.00000000000003</v>
      </c>
      <c r="AA53" s="77">
        <v>1.1175999999999999</v>
      </c>
      <c r="AH53" s="36"/>
    </row>
    <row r="54" spans="1:35" ht="15.5" x14ac:dyDescent="0.35">
      <c r="A54" s="137"/>
      <c r="I54" s="38"/>
      <c r="J54" s="38"/>
      <c r="K54" s="38"/>
      <c r="L54" s="38"/>
      <c r="M54" s="38"/>
      <c r="Z54" s="66">
        <v>208.24999999999997</v>
      </c>
      <c r="AA54" s="77">
        <v>1.0471999999999999</v>
      </c>
    </row>
    <row r="55" spans="1:35" ht="15.5" x14ac:dyDescent="0.35">
      <c r="A55" s="142"/>
      <c r="B55" s="42"/>
      <c r="C55" s="42"/>
      <c r="D55" s="42"/>
      <c r="E55" s="42"/>
      <c r="F55" s="42"/>
      <c r="G55" s="42"/>
      <c r="H55" s="42"/>
      <c r="I55" s="52"/>
      <c r="J55" s="52"/>
      <c r="K55" s="52"/>
      <c r="L55" s="52"/>
      <c r="M55" s="52"/>
      <c r="N55" s="42"/>
      <c r="O55" s="42"/>
      <c r="P55" s="42"/>
      <c r="Q55" s="42"/>
      <c r="R55" s="42"/>
      <c r="S55" s="42"/>
      <c r="T55" s="42"/>
      <c r="U55" s="42"/>
      <c r="V55" s="42"/>
      <c r="W55" s="42"/>
      <c r="X55" s="42"/>
      <c r="Y55" s="42"/>
      <c r="Z55" s="70">
        <v>208.24999999999997</v>
      </c>
      <c r="AA55" s="78">
        <v>0.99219999999999997</v>
      </c>
      <c r="AB55" s="42"/>
      <c r="AC55" s="42"/>
      <c r="AD55" s="42"/>
      <c r="AE55" s="42"/>
      <c r="AF55" s="42"/>
      <c r="AG55" s="42"/>
      <c r="AH55" s="42"/>
      <c r="AI55" s="42"/>
    </row>
    <row r="56" spans="1:35" ht="15.5" x14ac:dyDescent="0.35">
      <c r="A56" s="136" t="s">
        <v>196</v>
      </c>
      <c r="B56" t="s">
        <v>226</v>
      </c>
      <c r="C56" t="s">
        <v>227</v>
      </c>
      <c r="D56" s="7">
        <v>7</v>
      </c>
      <c r="F56">
        <v>2000</v>
      </c>
      <c r="H56" s="7">
        <v>37</v>
      </c>
      <c r="I56" s="138">
        <f>190/1000</f>
        <v>0.19</v>
      </c>
      <c r="J56" s="138"/>
      <c r="K56" s="138"/>
      <c r="L56" s="38">
        <f>11.5/1000</f>
        <v>1.15E-2</v>
      </c>
      <c r="M56" s="38">
        <f>400/1000</f>
        <v>0.4</v>
      </c>
      <c r="Z56" s="66">
        <v>0</v>
      </c>
      <c r="AA56" s="77">
        <v>0.14608000000000002</v>
      </c>
      <c r="AH56" s="36" t="s">
        <v>228</v>
      </c>
    </row>
    <row r="57" spans="1:35" ht="15.5" x14ac:dyDescent="0.35">
      <c r="A57" s="137"/>
      <c r="I57" s="38"/>
      <c r="J57" s="38"/>
      <c r="K57" s="38"/>
      <c r="L57" s="38"/>
      <c r="M57" s="38"/>
      <c r="Z57" s="66">
        <v>16.833333333333258</v>
      </c>
      <c r="AA57" s="77">
        <v>0.28600000000000003</v>
      </c>
      <c r="AH57" s="36" t="s">
        <v>220</v>
      </c>
    </row>
    <row r="58" spans="1:35" ht="15.5" x14ac:dyDescent="0.35">
      <c r="A58" s="137"/>
      <c r="I58" s="38"/>
      <c r="J58" s="38"/>
      <c r="K58" s="38"/>
      <c r="L58" s="38"/>
      <c r="M58" s="38"/>
      <c r="Z58" s="66">
        <v>42.499999999999901</v>
      </c>
      <c r="AA58" s="77">
        <v>0.55000000000000004</v>
      </c>
      <c r="AH58" s="58" t="s">
        <v>229</v>
      </c>
    </row>
    <row r="59" spans="1:35" ht="15.5" x14ac:dyDescent="0.35">
      <c r="A59" s="137"/>
      <c r="I59" s="38"/>
      <c r="J59" s="38"/>
      <c r="K59" s="38"/>
      <c r="L59" s="38"/>
      <c r="M59" s="38"/>
      <c r="Z59" s="66">
        <v>71.749999999999901</v>
      </c>
      <c r="AA59" s="77">
        <v>0.79199999999999993</v>
      </c>
      <c r="AH59" s="36" t="s">
        <v>232</v>
      </c>
    </row>
    <row r="60" spans="1:35" ht="15.5" x14ac:dyDescent="0.35">
      <c r="A60" s="137"/>
      <c r="I60" s="38"/>
      <c r="J60" s="38"/>
      <c r="K60" s="38"/>
      <c r="L60" s="38"/>
      <c r="M60" s="38"/>
      <c r="Z60" s="66">
        <v>71.749999999999886</v>
      </c>
      <c r="AA60" s="77">
        <v>0.87119999999999997</v>
      </c>
    </row>
    <row r="61" spans="1:35" ht="15.5" x14ac:dyDescent="0.35">
      <c r="A61" s="137"/>
      <c r="I61" s="38"/>
      <c r="J61" s="38"/>
      <c r="K61" s="38"/>
      <c r="L61" s="38"/>
      <c r="M61" s="38"/>
      <c r="Z61" s="66">
        <v>96.499999999999886</v>
      </c>
      <c r="AA61" s="77">
        <v>0.85250000000000004</v>
      </c>
    </row>
    <row r="62" spans="1:35" ht="15.5" x14ac:dyDescent="0.35">
      <c r="A62" s="137"/>
      <c r="Z62" s="66">
        <v>114.49999999999989</v>
      </c>
      <c r="AA62" s="77">
        <v>1.034</v>
      </c>
    </row>
    <row r="63" spans="1:35" ht="15.5" x14ac:dyDescent="0.35">
      <c r="A63" s="137"/>
      <c r="Z63" s="66">
        <v>138.99999999999994</v>
      </c>
      <c r="AA63" s="77">
        <v>1.012</v>
      </c>
    </row>
    <row r="64" spans="1:35" ht="15.5" x14ac:dyDescent="0.35">
      <c r="A64" s="137"/>
      <c r="Z64" s="66">
        <v>163.3333333333332</v>
      </c>
      <c r="AA64" s="77">
        <v>1.2649999999999999</v>
      </c>
    </row>
    <row r="65" spans="1:35" ht="15.5" x14ac:dyDescent="0.35">
      <c r="A65" s="137"/>
      <c r="Z65" s="66">
        <v>193.83333333333326</v>
      </c>
      <c r="AA65" s="77">
        <v>1.3089999999999999</v>
      </c>
    </row>
    <row r="66" spans="1:35" ht="15.5" x14ac:dyDescent="0.35">
      <c r="A66" s="137"/>
      <c r="Z66" s="66">
        <v>215.33333333333331</v>
      </c>
      <c r="AA66" s="77">
        <v>1.375</v>
      </c>
    </row>
    <row r="67" spans="1:35" ht="15.5" x14ac:dyDescent="0.35">
      <c r="A67" s="137"/>
      <c r="Z67" s="66">
        <v>237.49999999999989</v>
      </c>
      <c r="AA67" s="77">
        <v>1.397</v>
      </c>
    </row>
    <row r="68" spans="1:35" ht="15.5" x14ac:dyDescent="0.35">
      <c r="A68" s="137"/>
      <c r="Z68" s="66">
        <v>262.16666666666657</v>
      </c>
      <c r="AA68" s="77">
        <v>1.2649999999999999</v>
      </c>
      <c r="AB68" s="10"/>
    </row>
    <row r="69" spans="1:35" ht="15.5" x14ac:dyDescent="0.35">
      <c r="A69" s="137"/>
      <c r="Z69" s="70">
        <v>283.5</v>
      </c>
      <c r="AA69" s="78">
        <v>1.2870000000000001</v>
      </c>
      <c r="AB69" s="115"/>
      <c r="AC69" s="42"/>
      <c r="AD69" s="42"/>
      <c r="AE69" s="42"/>
      <c r="AF69" s="42"/>
      <c r="AG69" s="42"/>
      <c r="AH69" s="42"/>
      <c r="AI69" s="42"/>
    </row>
    <row r="70" spans="1:35" x14ac:dyDescent="0.35">
      <c r="A70" s="146" t="s">
        <v>239</v>
      </c>
      <c r="B70" s="7"/>
      <c r="C70" s="7" t="s">
        <v>172</v>
      </c>
      <c r="D70" s="7">
        <v>7.5</v>
      </c>
      <c r="E70" s="7"/>
      <c r="F70" s="7"/>
      <c r="G70" s="7"/>
      <c r="H70" s="7">
        <v>25</v>
      </c>
      <c r="I70" s="7"/>
      <c r="J70" s="7"/>
      <c r="K70" s="7"/>
      <c r="L70" s="7"/>
      <c r="M70" s="7"/>
      <c r="N70" s="7"/>
      <c r="O70" s="7"/>
      <c r="P70" s="7"/>
      <c r="Q70" s="7"/>
      <c r="R70" s="7"/>
      <c r="S70" s="7"/>
      <c r="T70" s="7"/>
      <c r="U70" s="7"/>
      <c r="V70" s="7"/>
      <c r="W70" s="7"/>
      <c r="X70" s="7"/>
      <c r="Y70" s="7"/>
      <c r="Z70" s="7" t="s">
        <v>243</v>
      </c>
      <c r="AA70" s="7" t="s">
        <v>244</v>
      </c>
      <c r="AB70" t="s">
        <v>245</v>
      </c>
      <c r="AC70" t="s">
        <v>246</v>
      </c>
      <c r="AH70" t="s">
        <v>269</v>
      </c>
    </row>
    <row r="71" spans="1:35" ht="15.5" x14ac:dyDescent="0.35">
      <c r="A71" s="147"/>
      <c r="Z71" s="79">
        <v>0</v>
      </c>
      <c r="AA71" s="80">
        <v>0.406360424028268</v>
      </c>
      <c r="AB71" s="79">
        <v>0</v>
      </c>
      <c r="AC71" s="80">
        <v>0.77062292793578702</v>
      </c>
      <c r="AH71" t="s">
        <v>272</v>
      </c>
    </row>
    <row r="72" spans="1:35" ht="15.5" x14ac:dyDescent="0.35">
      <c r="A72" s="147"/>
      <c r="Z72" s="81">
        <v>22.911900341378686</v>
      </c>
      <c r="AA72" s="82">
        <v>0.63816254416961105</v>
      </c>
      <c r="AB72" s="81">
        <v>23.912727272727263</v>
      </c>
      <c r="AC72" s="82">
        <v>1.2204920607223799</v>
      </c>
      <c r="AH72" t="s">
        <v>270</v>
      </c>
    </row>
    <row r="73" spans="1:35" ht="15.5" x14ac:dyDescent="0.35">
      <c r="A73" s="147"/>
      <c r="Z73" s="81">
        <v>46.772761573935362</v>
      </c>
      <c r="AA73" s="82">
        <v>0.82756183745583001</v>
      </c>
      <c r="AB73" s="81">
        <v>47.650909090908961</v>
      </c>
      <c r="AC73" s="82">
        <v>1.67609841214447</v>
      </c>
      <c r="AH73" t="s">
        <v>271</v>
      </c>
    </row>
    <row r="74" spans="1:35" ht="15.5" x14ac:dyDescent="0.35">
      <c r="A74" s="147"/>
      <c r="Z74" s="81">
        <v>70.648284122896328</v>
      </c>
      <c r="AA74" s="82">
        <v>0.96890459363957504</v>
      </c>
      <c r="AB74" s="81">
        <v>71.039999999999992</v>
      </c>
      <c r="AC74" s="82">
        <v>1.9877403594486101</v>
      </c>
      <c r="AH74" t="s">
        <v>273</v>
      </c>
    </row>
    <row r="75" spans="1:35" ht="15.5" x14ac:dyDescent="0.35">
      <c r="A75" s="147"/>
      <c r="Z75" s="81">
        <v>95.030915733365035</v>
      </c>
      <c r="AA75" s="82">
        <v>1.0480565371024699</v>
      </c>
      <c r="AB75" s="81">
        <v>95.476363636363445</v>
      </c>
      <c r="AC75" s="82">
        <v>2.2187995114290699</v>
      </c>
      <c r="AH75" t="s">
        <v>274</v>
      </c>
    </row>
    <row r="76" spans="1:35" ht="15.5" x14ac:dyDescent="0.35">
      <c r="A76" s="147"/>
      <c r="Z76" s="81">
        <v>119.41527220458744</v>
      </c>
      <c r="AA76" s="82">
        <v>1.12155477031802</v>
      </c>
      <c r="AB76" s="81">
        <v>119.21454545454527</v>
      </c>
      <c r="AC76" s="82">
        <v>2.63985691851334</v>
      </c>
      <c r="AH76" t="s">
        <v>275</v>
      </c>
    </row>
    <row r="77" spans="1:35" ht="15.5" x14ac:dyDescent="0.35">
      <c r="A77" s="147"/>
      <c r="Z77" s="81">
        <v>143.3002814876923</v>
      </c>
      <c r="AA77" s="82">
        <v>1.2318021201413401</v>
      </c>
      <c r="AB77" s="81">
        <v>143.65090909090895</v>
      </c>
      <c r="AC77" s="82">
        <v>2.8478834409352598</v>
      </c>
      <c r="AH77" t="s">
        <v>276</v>
      </c>
    </row>
    <row r="78" spans="1:35" ht="15.5" x14ac:dyDescent="0.35">
      <c r="A78" s="147"/>
      <c r="Z78" s="81">
        <v>167.19477750494087</v>
      </c>
      <c r="AA78" s="82">
        <v>1.31095406360424</v>
      </c>
      <c r="AB78" s="81">
        <v>167.38909090909081</v>
      </c>
      <c r="AC78" s="82">
        <v>2.9695166637585002</v>
      </c>
    </row>
    <row r="79" spans="1:35" ht="15.5" x14ac:dyDescent="0.35">
      <c r="A79" s="147"/>
      <c r="Z79" s="81">
        <v>191.58775827993048</v>
      </c>
      <c r="AA79" s="82">
        <v>1.3561837455830299</v>
      </c>
      <c r="AB79" s="81">
        <v>191.47636363636343</v>
      </c>
      <c r="AC79" s="82">
        <v>3.0278206246728301</v>
      </c>
    </row>
    <row r="80" spans="1:35" ht="15.5" x14ac:dyDescent="0.35">
      <c r="A80" s="147"/>
      <c r="Z80" s="81">
        <v>215.02775348865049</v>
      </c>
      <c r="AA80" s="82">
        <v>1.32508833922261</v>
      </c>
      <c r="AB80" s="81">
        <v>215.21454545454526</v>
      </c>
      <c r="AC80" s="82">
        <v>3.0918722735997202</v>
      </c>
    </row>
    <row r="81" spans="1:35" ht="15.5" x14ac:dyDescent="0.35">
      <c r="A81" s="147"/>
      <c r="Z81" s="81">
        <v>238.91276277175535</v>
      </c>
      <c r="AA81" s="82">
        <v>1.4353356890459299</v>
      </c>
      <c r="AB81" s="81">
        <v>239.30181818181819</v>
      </c>
      <c r="AC81" s="82">
        <v>3.1444180771244099</v>
      </c>
    </row>
    <row r="82" spans="1:35" ht="15.5" x14ac:dyDescent="0.35">
      <c r="A82" s="147"/>
      <c r="Z82" s="81">
        <v>263.32212972390244</v>
      </c>
      <c r="AA82" s="82">
        <v>1.4268551236749101</v>
      </c>
      <c r="AB82" s="81">
        <v>263.04000000000002</v>
      </c>
      <c r="AC82" s="82">
        <v>3.0875484208689499</v>
      </c>
    </row>
    <row r="83" spans="1:35" ht="15.5" x14ac:dyDescent="0.35">
      <c r="A83" s="147"/>
      <c r="Z83" s="81">
        <v>286.744876325088</v>
      </c>
      <c r="AA83" s="82">
        <v>1.45229681978798</v>
      </c>
      <c r="AB83" s="83">
        <v>286.77818181818162</v>
      </c>
      <c r="AC83" s="84">
        <v>3.09977665328912</v>
      </c>
    </row>
    <row r="84" spans="1:35" ht="15.5" x14ac:dyDescent="0.35">
      <c r="A84" s="147"/>
      <c r="Z84" s="81">
        <v>311.61650595915364</v>
      </c>
      <c r="AA84" s="82">
        <v>1.5286219081271999</v>
      </c>
      <c r="AB84" s="63"/>
      <c r="AC84" s="63"/>
    </row>
    <row r="85" spans="1:35" ht="15.5" x14ac:dyDescent="0.35">
      <c r="A85" s="147"/>
      <c r="Z85" s="81">
        <v>335.03752769958481</v>
      </c>
      <c r="AA85" s="82">
        <v>1.55971731448763</v>
      </c>
      <c r="AB85" s="63"/>
      <c r="AC85" s="63"/>
    </row>
    <row r="86" spans="1:35" ht="15.5" x14ac:dyDescent="0.35">
      <c r="A86" s="147"/>
      <c r="Z86" s="81">
        <v>358.949272324368</v>
      </c>
      <c r="AA86" s="82">
        <v>1.58233215547703</v>
      </c>
      <c r="AB86" s="63"/>
      <c r="AC86" s="63"/>
    </row>
    <row r="87" spans="1:35" ht="15.5" x14ac:dyDescent="0.35">
      <c r="A87" s="147"/>
      <c r="Z87" s="81">
        <v>383.3500149727488</v>
      </c>
      <c r="AA87" s="82">
        <v>1.6021201413427499</v>
      </c>
      <c r="AB87" s="63"/>
      <c r="AC87" s="63"/>
    </row>
    <row r="88" spans="1:35" ht="15.5" x14ac:dyDescent="0.35">
      <c r="A88" s="148"/>
      <c r="Z88" s="83">
        <v>407.75679463376639</v>
      </c>
      <c r="AA88" s="84">
        <v>1.6021201413427499</v>
      </c>
      <c r="AB88" s="63"/>
      <c r="AC88" s="107"/>
      <c r="AD88" s="42"/>
      <c r="AE88" s="42"/>
      <c r="AF88" s="42"/>
      <c r="AG88" s="42"/>
      <c r="AH88" s="42"/>
      <c r="AI88" s="42"/>
    </row>
    <row r="89" spans="1:35" ht="15" customHeight="1" x14ac:dyDescent="0.35">
      <c r="A89" s="146" t="s">
        <v>240</v>
      </c>
      <c r="B89" s="7"/>
      <c r="C89" s="7"/>
      <c r="D89" s="7"/>
      <c r="E89" s="7"/>
      <c r="F89" s="7"/>
      <c r="G89" s="7"/>
      <c r="H89" s="7"/>
      <c r="I89" s="7"/>
      <c r="J89" s="7"/>
      <c r="K89" s="7"/>
      <c r="L89" s="7"/>
      <c r="M89" s="7"/>
      <c r="N89" s="7"/>
      <c r="O89" s="7"/>
      <c r="P89" s="7"/>
      <c r="Q89" s="7"/>
      <c r="R89" s="7"/>
      <c r="S89" s="7"/>
      <c r="T89" s="7"/>
      <c r="U89" s="7"/>
      <c r="V89" s="7"/>
      <c r="W89" s="7"/>
      <c r="X89" s="7"/>
      <c r="Y89" s="7"/>
      <c r="Z89" s="7" t="s">
        <v>247</v>
      </c>
      <c r="AA89" s="7" t="s">
        <v>248</v>
      </c>
      <c r="AB89" s="7" t="s">
        <v>249</v>
      </c>
      <c r="AC89" t="s">
        <v>250</v>
      </c>
      <c r="AH89" t="s">
        <v>269</v>
      </c>
    </row>
    <row r="90" spans="1:35" ht="15.5" x14ac:dyDescent="0.35">
      <c r="A90" s="149"/>
      <c r="Z90" s="79">
        <v>0.10453312180567656</v>
      </c>
      <c r="AA90" s="85">
        <v>4.4267570466653E-2</v>
      </c>
      <c r="AB90" s="79">
        <v>0.5973266724446975</v>
      </c>
      <c r="AC90" s="80">
        <v>5.91647331786537E-2</v>
      </c>
      <c r="AH90" t="s">
        <v>307</v>
      </c>
    </row>
    <row r="91" spans="1:35" ht="15.5" x14ac:dyDescent="0.35">
      <c r="A91" s="149"/>
      <c r="Z91" s="81">
        <v>15.061769080305385</v>
      </c>
      <c r="AA91" s="86">
        <v>7.86738658181525E-2</v>
      </c>
      <c r="AB91" s="81">
        <v>15.801422257632096</v>
      </c>
      <c r="AC91" s="82">
        <v>0.105568445475637</v>
      </c>
      <c r="AH91" t="s">
        <v>308</v>
      </c>
    </row>
    <row r="92" spans="1:35" ht="15.5" x14ac:dyDescent="0.35">
      <c r="A92" s="149"/>
      <c r="Z92" s="81">
        <v>18.680146747311575</v>
      </c>
      <c r="AA92" s="86">
        <v>9.0193710056878304E-2</v>
      </c>
      <c r="AB92" s="81">
        <v>18.455714601019558</v>
      </c>
      <c r="AC92" s="82">
        <v>0.105568445475637</v>
      </c>
      <c r="AH92" t="s">
        <v>310</v>
      </c>
    </row>
    <row r="93" spans="1:35" ht="15.5" x14ac:dyDescent="0.35">
      <c r="A93" s="149"/>
      <c r="Z93" s="81">
        <v>22.056099297812302</v>
      </c>
      <c r="AA93" s="86">
        <v>0.11337762193638</v>
      </c>
      <c r="AB93" s="81">
        <v>20.388348469269648</v>
      </c>
      <c r="AC93" s="82">
        <v>0.15197215777262099</v>
      </c>
      <c r="AH93" t="s">
        <v>309</v>
      </c>
    </row>
    <row r="94" spans="1:35" ht="15.5" x14ac:dyDescent="0.35">
      <c r="A94" s="149"/>
      <c r="Z94" s="81">
        <v>39.649638089400483</v>
      </c>
      <c r="AA94" s="86">
        <v>0.33416562254932902</v>
      </c>
      <c r="AB94" s="81">
        <v>22.803021086234448</v>
      </c>
      <c r="AC94" s="82">
        <v>0.18677494199535799</v>
      </c>
    </row>
    <row r="95" spans="1:35" ht="15.5" x14ac:dyDescent="0.35">
      <c r="A95" s="149"/>
      <c r="Z95" s="81">
        <v>43.734866908841759</v>
      </c>
      <c r="AA95" s="86">
        <v>0.50883819035686295</v>
      </c>
      <c r="AB95" s="81">
        <v>40.434106190212077</v>
      </c>
      <c r="AC95" s="82">
        <v>0.52320185614849102</v>
      </c>
    </row>
    <row r="96" spans="1:35" ht="15.5" x14ac:dyDescent="0.35">
      <c r="A96" s="149"/>
      <c r="Z96" s="81">
        <v>46.37904433968216</v>
      </c>
      <c r="AA96" s="86">
        <v>0.61363451987128004</v>
      </c>
      <c r="AB96" s="81">
        <v>43.335296429282643</v>
      </c>
      <c r="AC96" s="82">
        <v>0.63921113689094999</v>
      </c>
    </row>
    <row r="97" spans="1:29" ht="15.5" x14ac:dyDescent="0.35">
      <c r="A97" s="149"/>
      <c r="Z97" s="81">
        <v>63.392112782700245</v>
      </c>
      <c r="AA97" s="86">
        <v>1.8484302184083099</v>
      </c>
      <c r="AB97" s="81">
        <v>46.234247231657761</v>
      </c>
      <c r="AC97" s="82">
        <v>0.70881670533642605</v>
      </c>
    </row>
    <row r="98" spans="1:29" ht="15.5" x14ac:dyDescent="0.35">
      <c r="A98" s="149"/>
      <c r="Z98" s="81">
        <v>64.834289113837201</v>
      </c>
      <c r="AA98" s="86">
        <v>1.90665140302328</v>
      </c>
      <c r="AB98" s="81">
        <v>63.88660698424296</v>
      </c>
      <c r="AC98" s="82">
        <v>1.4860788863109</v>
      </c>
    </row>
    <row r="99" spans="1:29" ht="15.5" x14ac:dyDescent="0.35">
      <c r="A99" s="149"/>
      <c r="Z99" s="81">
        <v>69.650168110402802</v>
      </c>
      <c r="AA99" s="86">
        <v>2.0113666068740401</v>
      </c>
      <c r="AB99" s="81">
        <v>66.774920462314327</v>
      </c>
      <c r="AC99" s="82">
        <v>1.3352668213457</v>
      </c>
    </row>
    <row r="100" spans="1:29" ht="15.5" x14ac:dyDescent="0.35">
      <c r="A100" s="149"/>
      <c r="Z100" s="81">
        <v>87.432134776769033</v>
      </c>
      <c r="AA100" s="86">
        <v>2.7799331163972898</v>
      </c>
      <c r="AB100" s="81">
        <v>69.918529723677125</v>
      </c>
      <c r="AC100" s="82">
        <v>1.4744779582366501</v>
      </c>
    </row>
    <row r="101" spans="1:29" ht="15.5" x14ac:dyDescent="0.35">
      <c r="A101" s="149"/>
      <c r="Z101" s="81">
        <v>92.746363316777519</v>
      </c>
      <c r="AA101" s="86">
        <v>2.7214595408287399</v>
      </c>
      <c r="AB101" s="81">
        <v>88.525449367735916</v>
      </c>
      <c r="AC101" s="82">
        <v>2.03132250580046</v>
      </c>
    </row>
    <row r="102" spans="1:29" ht="15.5" x14ac:dyDescent="0.35">
      <c r="A102" s="149"/>
      <c r="Z102" s="81">
        <v>111.74270545074313</v>
      </c>
      <c r="AA102" s="86">
        <v>3.4083956047918198</v>
      </c>
      <c r="AB102" s="81">
        <v>91.195977627166087</v>
      </c>
      <c r="AC102" s="82">
        <v>2.36774941995359</v>
      </c>
    </row>
    <row r="103" spans="1:29" ht="15.5" x14ac:dyDescent="0.35">
      <c r="A103" s="149"/>
      <c r="Z103" s="81">
        <v>117.52266020065056</v>
      </c>
      <c r="AA103" s="86">
        <v>3.5247298064702202</v>
      </c>
      <c r="AB103" s="81">
        <v>94.583685488342411</v>
      </c>
      <c r="AC103" s="82">
        <v>2.5649651972157699</v>
      </c>
    </row>
    <row r="104" spans="1:29" ht="15.5" x14ac:dyDescent="0.35">
      <c r="A104" s="149"/>
      <c r="Z104" s="81">
        <v>140.62335517716934</v>
      </c>
      <c r="AA104" s="86">
        <v>4.1882025257123203</v>
      </c>
      <c r="AB104" s="81">
        <v>122.13659487190512</v>
      </c>
      <c r="AC104" s="82">
        <v>3.4930394431554501</v>
      </c>
    </row>
    <row r="105" spans="1:29" ht="15.5" x14ac:dyDescent="0.35">
      <c r="A105" s="149"/>
      <c r="Z105" s="81">
        <v>158.92504529516208</v>
      </c>
      <c r="AA105" s="86">
        <v>4.5721342359314496</v>
      </c>
      <c r="AB105" s="81">
        <v>140.7423947976161</v>
      </c>
      <c r="AC105" s="82">
        <v>4.02668213457076</v>
      </c>
    </row>
    <row r="106" spans="1:29" ht="15.5" x14ac:dyDescent="0.35">
      <c r="A106" s="149"/>
      <c r="Z106" s="81">
        <v>164.4558252733483</v>
      </c>
      <c r="AA106" s="86">
        <v>4.77006282731951</v>
      </c>
      <c r="AB106" s="81">
        <v>161.02049407572073</v>
      </c>
      <c r="AC106" s="82">
        <v>4.2122969837586997</v>
      </c>
    </row>
    <row r="107" spans="1:29" ht="15.5" x14ac:dyDescent="0.35">
      <c r="A107" s="149"/>
      <c r="Z107" s="81">
        <v>166.86545218543512</v>
      </c>
      <c r="AA107" s="86">
        <v>4.8049378487276702</v>
      </c>
      <c r="AB107" s="81">
        <v>165.09514914325393</v>
      </c>
      <c r="AC107" s="82">
        <v>3.64385150812064</v>
      </c>
    </row>
    <row r="108" spans="1:29" ht="15.5" x14ac:dyDescent="0.35">
      <c r="A108" s="149"/>
      <c r="Z108" s="81">
        <v>183.25249010717593</v>
      </c>
      <c r="AA108" s="86">
        <v>5.0257709191537598</v>
      </c>
      <c r="AB108" s="81">
        <v>184.64599135448231</v>
      </c>
      <c r="AC108" s="82">
        <v>3.7598607888630999</v>
      </c>
    </row>
    <row r="109" spans="1:29" ht="15.5" x14ac:dyDescent="0.35">
      <c r="A109" s="149"/>
      <c r="Z109" s="81">
        <v>190.75079458080552</v>
      </c>
      <c r="AA109" s="86">
        <v>4.8390106274619296</v>
      </c>
      <c r="AB109" s="81">
        <v>209.07544640694215</v>
      </c>
      <c r="AC109" s="82">
        <v>4.9663573085846799</v>
      </c>
    </row>
    <row r="110" spans="1:29" ht="15.5" x14ac:dyDescent="0.35">
      <c r="A110" s="149"/>
      <c r="Z110" s="81">
        <v>208.31733475153007</v>
      </c>
      <c r="AA110" s="86">
        <v>5.3395199163504197</v>
      </c>
      <c r="AB110" s="81">
        <v>232.96575707495111</v>
      </c>
      <c r="AC110" s="82">
        <v>5.00116009280742</v>
      </c>
    </row>
    <row r="111" spans="1:29" ht="15.5" x14ac:dyDescent="0.35">
      <c r="A111" s="149"/>
      <c r="Z111" s="81">
        <v>213.65181225718629</v>
      </c>
      <c r="AA111" s="86">
        <v>5.0712553745752098</v>
      </c>
      <c r="AB111" s="81">
        <v>257.12815930146724</v>
      </c>
      <c r="AC111" s="82">
        <v>5.67401392111368</v>
      </c>
    </row>
    <row r="112" spans="1:29" ht="15.5" x14ac:dyDescent="0.35">
      <c r="A112" s="149"/>
      <c r="Z112" s="81">
        <v>255.12281884639199</v>
      </c>
      <c r="AA112" s="86">
        <v>5.4077015296694499</v>
      </c>
      <c r="AB112" s="81">
        <v>274.26264931820879</v>
      </c>
      <c r="AC112" s="82">
        <v>5.72041763341067</v>
      </c>
    </row>
    <row r="113" spans="1:41" ht="15.5" x14ac:dyDescent="0.35">
      <c r="A113" s="149"/>
      <c r="Z113" s="83">
        <v>327.74179684330801</v>
      </c>
      <c r="AA113" s="87">
        <v>5.5331939173780098</v>
      </c>
      <c r="AB113" s="81">
        <v>274.2307373452968</v>
      </c>
      <c r="AC113" s="82">
        <v>5.0591647331786502</v>
      </c>
    </row>
    <row r="114" spans="1:41" ht="15.5" x14ac:dyDescent="0.35">
      <c r="A114" s="149"/>
      <c r="Z114" s="63"/>
      <c r="AA114" s="63"/>
      <c r="AB114" s="81">
        <v>329.48771808937204</v>
      </c>
      <c r="AC114" s="82">
        <v>5.0475638051044003</v>
      </c>
    </row>
    <row r="115" spans="1:41" ht="15.5" x14ac:dyDescent="0.35">
      <c r="A115" s="149"/>
      <c r="Z115" s="63"/>
      <c r="AA115" s="63"/>
      <c r="AB115" s="81">
        <v>352.66084915563363</v>
      </c>
      <c r="AC115" s="82">
        <v>5.22157772621809</v>
      </c>
      <c r="AF115" s="42"/>
      <c r="AG115" s="42"/>
      <c r="AH115" s="42"/>
      <c r="AI115" s="42"/>
    </row>
    <row r="116" spans="1:41" ht="15" customHeight="1" x14ac:dyDescent="0.35">
      <c r="A116" s="145" t="s">
        <v>258</v>
      </c>
      <c r="B116" s="7"/>
      <c r="C116" s="7" t="s">
        <v>172</v>
      </c>
      <c r="D116" s="7"/>
      <c r="E116" s="7"/>
      <c r="F116" s="7"/>
      <c r="G116" s="7"/>
      <c r="H116" s="7"/>
      <c r="I116" s="7"/>
      <c r="J116" s="7"/>
      <c r="K116" s="7"/>
      <c r="L116" s="7"/>
      <c r="M116" s="7"/>
      <c r="N116" s="7"/>
      <c r="O116" s="7"/>
      <c r="P116" s="7"/>
      <c r="Q116" s="7"/>
      <c r="R116" s="7"/>
      <c r="S116" s="7"/>
      <c r="T116" s="7"/>
      <c r="U116" s="7"/>
      <c r="V116" s="7"/>
      <c r="W116" s="7"/>
      <c r="X116" s="7"/>
      <c r="Y116" s="7"/>
      <c r="Z116" s="97" t="s">
        <v>251</v>
      </c>
      <c r="AA116" s="7" t="s">
        <v>252</v>
      </c>
      <c r="AB116" s="97" t="s">
        <v>253</v>
      </c>
      <c r="AC116" s="91" t="s">
        <v>254</v>
      </c>
      <c r="AD116" s="97" t="s">
        <v>255</v>
      </c>
      <c r="AE116" s="91" t="s">
        <v>256</v>
      </c>
      <c r="AH116" t="s">
        <v>314</v>
      </c>
      <c r="AJ116" s="97" t="s">
        <v>259</v>
      </c>
      <c r="AK116" s="7" t="s">
        <v>260</v>
      </c>
      <c r="AL116" s="97" t="s">
        <v>261</v>
      </c>
      <c r="AM116" s="91" t="s">
        <v>262</v>
      </c>
      <c r="AN116" s="97" t="s">
        <v>263</v>
      </c>
      <c r="AO116" s="91" t="s">
        <v>264</v>
      </c>
    </row>
    <row r="117" spans="1:41" ht="15.5" x14ac:dyDescent="0.35">
      <c r="A117" s="145"/>
      <c r="Z117" s="103">
        <f t="shared" ref="Z117:Z124" si="0">AJ117*24</f>
        <v>96</v>
      </c>
      <c r="AA117" s="106">
        <f t="shared" ref="AA117:AA124" si="1">AK117/1000</f>
        <v>0.28399999999999997</v>
      </c>
      <c r="AB117" s="103">
        <f t="shared" ref="AB117:AB127" si="2">AL117*24</f>
        <v>24</v>
      </c>
      <c r="AC117" s="104">
        <f t="shared" ref="AC117:AC127" si="3">AM117/1000</f>
        <v>3.7999999999999999E-2</v>
      </c>
      <c r="AD117" s="103">
        <f t="shared" ref="AD117:AD124" si="4">AN117*24</f>
        <v>96</v>
      </c>
      <c r="AE117" s="104">
        <f t="shared" ref="AE117:AE124" si="5">AO117/1000</f>
        <v>0.29799999999999999</v>
      </c>
      <c r="AH117" t="s">
        <v>313</v>
      </c>
      <c r="AJ117" s="7">
        <v>4</v>
      </c>
      <c r="AK117" s="7">
        <v>284</v>
      </c>
      <c r="AL117" s="89">
        <v>1</v>
      </c>
      <c r="AM117" s="90">
        <v>38</v>
      </c>
      <c r="AN117" s="89">
        <v>4</v>
      </c>
      <c r="AO117" s="91">
        <v>298</v>
      </c>
    </row>
    <row r="118" spans="1:41" ht="15.5" x14ac:dyDescent="0.35">
      <c r="A118" s="145"/>
      <c r="Z118" s="98">
        <f t="shared" si="0"/>
        <v>144</v>
      </c>
      <c r="AA118" s="102">
        <f t="shared" si="1"/>
        <v>0.59299999999999997</v>
      </c>
      <c r="AB118" s="98">
        <f t="shared" si="2"/>
        <v>48</v>
      </c>
      <c r="AC118" s="99">
        <f t="shared" si="3"/>
        <v>9.1999999999999998E-2</v>
      </c>
      <c r="AD118" s="98">
        <f t="shared" si="4"/>
        <v>144</v>
      </c>
      <c r="AE118" s="99">
        <f t="shared" si="5"/>
        <v>0.624</v>
      </c>
      <c r="AH118" t="s">
        <v>315</v>
      </c>
      <c r="AJ118">
        <v>6</v>
      </c>
      <c r="AK118">
        <v>593</v>
      </c>
      <c r="AL118" s="92">
        <v>2</v>
      </c>
      <c r="AM118" s="93">
        <v>92</v>
      </c>
      <c r="AN118" s="92">
        <v>6</v>
      </c>
      <c r="AO118" s="94">
        <v>624</v>
      </c>
    </row>
    <row r="119" spans="1:41" ht="15.5" x14ac:dyDescent="0.35">
      <c r="A119" s="145"/>
      <c r="Z119" s="98">
        <f t="shared" si="0"/>
        <v>168</v>
      </c>
      <c r="AA119" s="102">
        <f t="shared" si="1"/>
        <v>0.60299999999999998</v>
      </c>
      <c r="AB119" s="98">
        <f t="shared" si="2"/>
        <v>96</v>
      </c>
      <c r="AC119" s="99">
        <f t="shared" si="3"/>
        <v>0.374</v>
      </c>
      <c r="AD119" s="98">
        <f t="shared" si="4"/>
        <v>168</v>
      </c>
      <c r="AE119" s="99">
        <f t="shared" si="5"/>
        <v>0.71399999999999997</v>
      </c>
      <c r="AH119" t="s">
        <v>316</v>
      </c>
      <c r="AJ119">
        <v>7</v>
      </c>
      <c r="AK119">
        <v>603</v>
      </c>
      <c r="AL119" s="92">
        <v>4</v>
      </c>
      <c r="AM119" s="93">
        <v>374</v>
      </c>
      <c r="AN119" s="92">
        <v>7</v>
      </c>
      <c r="AO119" s="94">
        <v>714</v>
      </c>
    </row>
    <row r="120" spans="1:41" ht="15.5" x14ac:dyDescent="0.35">
      <c r="A120" s="145"/>
      <c r="Z120" s="98">
        <f t="shared" si="0"/>
        <v>192</v>
      </c>
      <c r="AA120" s="102">
        <f t="shared" si="1"/>
        <v>0.70399999999999996</v>
      </c>
      <c r="AB120" s="98">
        <f t="shared" si="2"/>
        <v>144</v>
      </c>
      <c r="AC120" s="99">
        <f t="shared" si="3"/>
        <v>0.71099999999999997</v>
      </c>
      <c r="AD120" s="98">
        <f t="shared" si="4"/>
        <v>192</v>
      </c>
      <c r="AE120" s="99">
        <f t="shared" si="5"/>
        <v>0.94899999999999995</v>
      </c>
      <c r="AJ120">
        <v>8</v>
      </c>
      <c r="AK120">
        <v>704</v>
      </c>
      <c r="AL120" s="92">
        <v>6</v>
      </c>
      <c r="AM120" s="93">
        <v>711</v>
      </c>
      <c r="AN120" s="92">
        <v>8</v>
      </c>
      <c r="AO120" s="94">
        <v>949</v>
      </c>
    </row>
    <row r="121" spans="1:41" ht="15.5" x14ac:dyDescent="0.35">
      <c r="A121" s="145"/>
      <c r="Z121" s="98">
        <f t="shared" si="0"/>
        <v>216</v>
      </c>
      <c r="AA121" s="102">
        <f t="shared" si="1"/>
        <v>0.876</v>
      </c>
      <c r="AB121" s="98">
        <f t="shared" si="2"/>
        <v>168</v>
      </c>
      <c r="AC121" s="99">
        <f t="shared" si="3"/>
        <v>0.84199999999999997</v>
      </c>
      <c r="AD121" s="98">
        <f t="shared" si="4"/>
        <v>216</v>
      </c>
      <c r="AE121" s="99">
        <f t="shared" si="5"/>
        <v>1.1040000000000001</v>
      </c>
      <c r="AJ121">
        <v>9</v>
      </c>
      <c r="AK121">
        <v>876</v>
      </c>
      <c r="AL121" s="92">
        <v>7</v>
      </c>
      <c r="AM121" s="93">
        <v>842</v>
      </c>
      <c r="AN121" s="92">
        <v>9</v>
      </c>
      <c r="AO121" s="94">
        <v>1104</v>
      </c>
    </row>
    <row r="122" spans="1:41" ht="15.5" x14ac:dyDescent="0.35">
      <c r="A122" s="145"/>
      <c r="Z122" s="98">
        <f t="shared" si="0"/>
        <v>240</v>
      </c>
      <c r="AA122" s="102">
        <f t="shared" si="1"/>
        <v>0.96099999999999997</v>
      </c>
      <c r="AB122" s="98">
        <f t="shared" si="2"/>
        <v>216</v>
      </c>
      <c r="AC122" s="99">
        <f t="shared" si="3"/>
        <v>1.073</v>
      </c>
      <c r="AD122" s="98">
        <f t="shared" si="4"/>
        <v>240</v>
      </c>
      <c r="AE122" s="99">
        <f t="shared" si="5"/>
        <v>1.2470000000000001</v>
      </c>
      <c r="AJ122">
        <v>10</v>
      </c>
      <c r="AK122">
        <v>961</v>
      </c>
      <c r="AL122" s="92">
        <v>9</v>
      </c>
      <c r="AM122" s="94">
        <v>1073</v>
      </c>
      <c r="AN122" s="92">
        <v>10</v>
      </c>
      <c r="AO122" s="94">
        <v>1247</v>
      </c>
    </row>
    <row r="123" spans="1:41" ht="15.5" x14ac:dyDescent="0.35">
      <c r="A123" s="145"/>
      <c r="Z123" s="98">
        <f t="shared" si="0"/>
        <v>312</v>
      </c>
      <c r="AA123" s="102">
        <f t="shared" si="1"/>
        <v>1.381</v>
      </c>
      <c r="AB123" s="98">
        <f t="shared" si="2"/>
        <v>240</v>
      </c>
      <c r="AC123" s="99">
        <f t="shared" si="3"/>
        <v>1.2190000000000001</v>
      </c>
      <c r="AD123" s="98">
        <f t="shared" si="4"/>
        <v>312</v>
      </c>
      <c r="AE123" s="99">
        <f t="shared" si="5"/>
        <v>1.488</v>
      </c>
      <c r="AJ123">
        <v>13</v>
      </c>
      <c r="AK123">
        <v>1381</v>
      </c>
      <c r="AL123" s="92">
        <v>10</v>
      </c>
      <c r="AM123" s="94">
        <v>1219</v>
      </c>
      <c r="AN123" s="92">
        <v>13</v>
      </c>
      <c r="AO123" s="94">
        <v>1488</v>
      </c>
    </row>
    <row r="124" spans="1:41" ht="15.5" x14ac:dyDescent="0.35">
      <c r="A124" s="145"/>
      <c r="Z124" s="105">
        <f t="shared" si="0"/>
        <v>336</v>
      </c>
      <c r="AA124" s="100">
        <f t="shared" si="1"/>
        <v>1.484</v>
      </c>
      <c r="AB124" s="98">
        <f t="shared" si="2"/>
        <v>264</v>
      </c>
      <c r="AC124" s="99">
        <f t="shared" si="3"/>
        <v>1.2909999999999999</v>
      </c>
      <c r="AD124" s="105">
        <f t="shared" si="4"/>
        <v>336</v>
      </c>
      <c r="AE124" s="101">
        <f t="shared" si="5"/>
        <v>1.4610000000000001</v>
      </c>
      <c r="AJ124" s="42">
        <v>14</v>
      </c>
      <c r="AK124" s="42">
        <v>1484</v>
      </c>
      <c r="AL124" s="92">
        <v>11</v>
      </c>
      <c r="AM124" s="94">
        <v>1291</v>
      </c>
      <c r="AN124" s="95">
        <v>14</v>
      </c>
      <c r="AO124" s="96">
        <v>1461</v>
      </c>
    </row>
    <row r="125" spans="1:41" ht="15.5" x14ac:dyDescent="0.35">
      <c r="A125" s="145"/>
      <c r="Z125" s="102"/>
      <c r="AA125" s="102"/>
      <c r="AB125" s="98">
        <f t="shared" si="2"/>
        <v>288</v>
      </c>
      <c r="AC125" s="99">
        <f t="shared" si="3"/>
        <v>1.571</v>
      </c>
      <c r="AD125" s="102"/>
      <c r="AE125" s="102"/>
      <c r="AL125" s="92">
        <v>12</v>
      </c>
      <c r="AM125" s="94">
        <v>1571</v>
      </c>
      <c r="AN125" s="88"/>
    </row>
    <row r="126" spans="1:41" ht="15.5" x14ac:dyDescent="0.35">
      <c r="A126" s="145"/>
      <c r="Z126" s="102"/>
      <c r="AA126" s="102"/>
      <c r="AB126" s="98">
        <f t="shared" si="2"/>
        <v>312</v>
      </c>
      <c r="AC126" s="99">
        <f t="shared" si="3"/>
        <v>1.675</v>
      </c>
      <c r="AD126" s="102"/>
      <c r="AE126" s="102"/>
      <c r="AL126" s="92">
        <v>13</v>
      </c>
      <c r="AM126" s="94">
        <v>1675</v>
      </c>
      <c r="AN126" s="88"/>
    </row>
    <row r="127" spans="1:41" ht="15.5" x14ac:dyDescent="0.35">
      <c r="A127" s="145"/>
      <c r="Z127" s="107"/>
      <c r="AA127" s="108"/>
      <c r="AB127" s="105">
        <f t="shared" si="2"/>
        <v>336</v>
      </c>
      <c r="AC127" s="101">
        <f t="shared" si="3"/>
        <v>1.7669999999999999</v>
      </c>
      <c r="AD127" s="100"/>
      <c r="AE127" s="100"/>
      <c r="AF127" s="42"/>
      <c r="AG127" s="42"/>
      <c r="AH127" s="42"/>
      <c r="AI127" s="42"/>
      <c r="AL127" s="95">
        <v>14</v>
      </c>
      <c r="AM127" s="96">
        <v>1767</v>
      </c>
      <c r="AN127" s="88"/>
    </row>
    <row r="128" spans="1:41" x14ac:dyDescent="0.35">
      <c r="A128" s="134" t="s">
        <v>268</v>
      </c>
      <c r="B128" s="7"/>
      <c r="C128" s="7" t="s">
        <v>172</v>
      </c>
      <c r="D128" s="7"/>
      <c r="E128" s="7"/>
      <c r="F128" s="7"/>
      <c r="G128" s="7"/>
      <c r="H128" s="7"/>
      <c r="I128" s="7"/>
      <c r="J128" s="7"/>
      <c r="K128" s="7"/>
      <c r="L128" s="7"/>
      <c r="M128" s="7"/>
      <c r="N128" s="7"/>
      <c r="O128" s="7"/>
      <c r="P128" s="7"/>
      <c r="Q128" s="7"/>
      <c r="R128" s="7"/>
      <c r="S128" s="7"/>
      <c r="T128" s="7"/>
      <c r="U128" s="7"/>
      <c r="V128" s="7"/>
      <c r="W128" s="7"/>
      <c r="X128" s="7"/>
      <c r="Y128" s="7"/>
      <c r="Z128" s="109" t="s">
        <v>267</v>
      </c>
      <c r="AA128" s="110" t="s">
        <v>152</v>
      </c>
      <c r="AB128" s="36" t="s">
        <v>265</v>
      </c>
      <c r="AC128" s="36" t="s">
        <v>266</v>
      </c>
      <c r="AH128" t="s">
        <v>311</v>
      </c>
    </row>
    <row r="129" spans="1:34" x14ac:dyDescent="0.35">
      <c r="A129" s="134"/>
      <c r="Z129" s="111">
        <f>AB129*24</f>
        <v>0</v>
      </c>
      <c r="AA129" s="112">
        <v>1E-3</v>
      </c>
      <c r="AB129" s="36">
        <v>0</v>
      </c>
      <c r="AC129">
        <v>0</v>
      </c>
      <c r="AH129" t="s">
        <v>312</v>
      </c>
    </row>
    <row r="130" spans="1:34" x14ac:dyDescent="0.35">
      <c r="A130" s="134"/>
      <c r="Z130" s="111">
        <f t="shared" ref="Z130:Z134" si="6">AB130*24</f>
        <v>24</v>
      </c>
      <c r="AA130" s="112">
        <f t="shared" ref="AA130:AA134" si="7">AC130</f>
        <v>0.25</v>
      </c>
      <c r="AB130" s="36">
        <v>1</v>
      </c>
      <c r="AC130">
        <v>0.25</v>
      </c>
      <c r="AH130" t="s">
        <v>313</v>
      </c>
    </row>
    <row r="131" spans="1:34" x14ac:dyDescent="0.35">
      <c r="A131" s="134"/>
      <c r="Z131" s="111">
        <f t="shared" si="6"/>
        <v>48</v>
      </c>
      <c r="AA131" s="112">
        <f t="shared" si="7"/>
        <v>0.51</v>
      </c>
      <c r="AB131" s="36">
        <v>2</v>
      </c>
      <c r="AC131">
        <v>0.51</v>
      </c>
    </row>
    <row r="132" spans="1:34" x14ac:dyDescent="0.35">
      <c r="A132" s="134"/>
      <c r="Z132" s="111">
        <f t="shared" si="6"/>
        <v>72</v>
      </c>
      <c r="AA132" s="112">
        <f t="shared" si="7"/>
        <v>0.84</v>
      </c>
      <c r="AB132" s="36">
        <v>3</v>
      </c>
      <c r="AC132">
        <v>0.84</v>
      </c>
    </row>
    <row r="133" spans="1:34" x14ac:dyDescent="0.35">
      <c r="A133" s="134"/>
      <c r="Z133" s="111">
        <f t="shared" si="6"/>
        <v>96</v>
      </c>
      <c r="AA133" s="112">
        <f t="shared" si="7"/>
        <v>1.1499999999999999</v>
      </c>
      <c r="AB133" s="36">
        <v>4</v>
      </c>
      <c r="AC133">
        <v>1.1499999999999999</v>
      </c>
    </row>
    <row r="134" spans="1:34" x14ac:dyDescent="0.35">
      <c r="A134" s="134"/>
      <c r="Z134" s="113">
        <f t="shared" si="6"/>
        <v>120</v>
      </c>
      <c r="AA134" s="114">
        <f t="shared" si="7"/>
        <v>1.49</v>
      </c>
      <c r="AB134" s="36">
        <v>5</v>
      </c>
      <c r="AC134">
        <v>1.49</v>
      </c>
    </row>
    <row r="135" spans="1:34" x14ac:dyDescent="0.35">
      <c r="A135" s="60"/>
    </row>
  </sheetData>
  <mergeCells count="45">
    <mergeCell ref="AI6:AI11"/>
    <mergeCell ref="AH9:AH11"/>
    <mergeCell ref="AI3:AI4"/>
    <mergeCell ref="N3:P3"/>
    <mergeCell ref="O4:O5"/>
    <mergeCell ref="P4:P5"/>
    <mergeCell ref="Q3:Q5"/>
    <mergeCell ref="N4:N5"/>
    <mergeCell ref="S3:S5"/>
    <mergeCell ref="R3:R5"/>
    <mergeCell ref="T3:T5"/>
    <mergeCell ref="U3:U5"/>
    <mergeCell ref="Y3:Y5"/>
    <mergeCell ref="X3:X5"/>
    <mergeCell ref="W3:W5"/>
    <mergeCell ref="V3:V5"/>
    <mergeCell ref="AH3:AH4"/>
    <mergeCell ref="AB4:AB5"/>
    <mergeCell ref="AC4:AC5"/>
    <mergeCell ref="AD4:AD5"/>
    <mergeCell ref="AE4:AE5"/>
    <mergeCell ref="AF4:AF5"/>
    <mergeCell ref="AG4:AG5"/>
    <mergeCell ref="A3:H3"/>
    <mergeCell ref="Z3:Z5"/>
    <mergeCell ref="AA3:AA5"/>
    <mergeCell ref="I3:M3"/>
    <mergeCell ref="I4:K4"/>
    <mergeCell ref="M4:M5"/>
    <mergeCell ref="A128:A134"/>
    <mergeCell ref="AH12:AH13"/>
    <mergeCell ref="AH16:AH21"/>
    <mergeCell ref="AH43:AH46"/>
    <mergeCell ref="A56:A69"/>
    <mergeCell ref="I56:K56"/>
    <mergeCell ref="A24:A35"/>
    <mergeCell ref="A36:A55"/>
    <mergeCell ref="AH36:AH38"/>
    <mergeCell ref="AH14:AH15"/>
    <mergeCell ref="AH25:AH27"/>
    <mergeCell ref="A116:A127"/>
    <mergeCell ref="A70:A88"/>
    <mergeCell ref="A89:A115"/>
    <mergeCell ref="A6:A23"/>
    <mergeCell ref="AH6:AH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F900-11C2-4C71-AF5B-A1220BE392FF}">
  <dimension ref="A1:K16"/>
  <sheetViews>
    <sheetView workbookViewId="0">
      <selection activeCell="C13" sqref="C4:C15"/>
    </sheetView>
  </sheetViews>
  <sheetFormatPr defaultRowHeight="14.5" x14ac:dyDescent="0.35"/>
  <cols>
    <col min="1" max="1" width="18.54296875" customWidth="1"/>
    <col min="2" max="2" width="13.54296875" customWidth="1"/>
    <col min="3" max="3" width="44.26953125" customWidth="1"/>
    <col min="4" max="4" width="27.1796875" customWidth="1"/>
    <col min="5" max="5" width="18.26953125" customWidth="1"/>
    <col min="6" max="6" width="31" customWidth="1"/>
    <col min="7" max="7" width="53.81640625" customWidth="1"/>
  </cols>
  <sheetData>
    <row r="1" spans="1:11" ht="23.5" x14ac:dyDescent="0.55000000000000004">
      <c r="A1" s="124" t="s">
        <v>333</v>
      </c>
    </row>
    <row r="3" spans="1:11" ht="16.5" customHeight="1" x14ac:dyDescent="0.35">
      <c r="B3" s="125" t="s">
        <v>330</v>
      </c>
      <c r="C3" s="125" t="s">
        <v>326</v>
      </c>
      <c r="D3" s="125" t="s">
        <v>327</v>
      </c>
      <c r="E3" s="125" t="s">
        <v>331</v>
      </c>
      <c r="F3" s="125" t="s">
        <v>332</v>
      </c>
      <c r="G3" s="125" t="s">
        <v>339</v>
      </c>
      <c r="H3" s="123"/>
      <c r="I3" s="123"/>
      <c r="J3" s="123"/>
      <c r="K3" s="123"/>
    </row>
    <row r="4" spans="1:11" x14ac:dyDescent="0.35">
      <c r="A4" s="158" t="s">
        <v>329</v>
      </c>
      <c r="B4" t="s">
        <v>153</v>
      </c>
      <c r="C4" s="156" t="s">
        <v>340</v>
      </c>
      <c r="D4" t="s">
        <v>311</v>
      </c>
      <c r="E4" t="s">
        <v>172</v>
      </c>
      <c r="F4" t="s">
        <v>334</v>
      </c>
      <c r="G4" s="159" t="s">
        <v>342</v>
      </c>
    </row>
    <row r="5" spans="1:11" x14ac:dyDescent="0.35">
      <c r="A5" s="158"/>
      <c r="B5" t="s">
        <v>154</v>
      </c>
      <c r="C5" s="157"/>
      <c r="D5" t="s">
        <v>311</v>
      </c>
      <c r="E5" t="s">
        <v>172</v>
      </c>
      <c r="F5" t="s">
        <v>334</v>
      </c>
      <c r="G5" s="159"/>
    </row>
    <row r="6" spans="1:11" x14ac:dyDescent="0.35">
      <c r="A6" s="158"/>
      <c r="B6" t="s">
        <v>155</v>
      </c>
      <c r="C6" s="157"/>
      <c r="D6" t="s">
        <v>311</v>
      </c>
      <c r="E6" t="s">
        <v>172</v>
      </c>
      <c r="F6" t="s">
        <v>334</v>
      </c>
      <c r="G6" s="159"/>
    </row>
    <row r="7" spans="1:11" x14ac:dyDescent="0.35">
      <c r="A7" s="158"/>
      <c r="B7" t="s">
        <v>317</v>
      </c>
      <c r="C7" s="157"/>
      <c r="D7" t="s">
        <v>311</v>
      </c>
      <c r="E7" t="s">
        <v>172</v>
      </c>
      <c r="F7" t="s">
        <v>335</v>
      </c>
      <c r="G7" s="159"/>
    </row>
    <row r="8" spans="1:11" x14ac:dyDescent="0.35">
      <c r="A8" s="158"/>
      <c r="B8" t="s">
        <v>318</v>
      </c>
      <c r="C8" s="157"/>
      <c r="D8" t="s">
        <v>311</v>
      </c>
      <c r="E8" t="s">
        <v>227</v>
      </c>
      <c r="F8" t="s">
        <v>335</v>
      </c>
      <c r="G8" s="159"/>
    </row>
    <row r="9" spans="1:11" x14ac:dyDescent="0.35">
      <c r="A9" s="158"/>
      <c r="B9" t="s">
        <v>319</v>
      </c>
      <c r="C9" s="157"/>
      <c r="D9" t="s">
        <v>269</v>
      </c>
      <c r="E9" t="s">
        <v>172</v>
      </c>
      <c r="F9" t="s">
        <v>336</v>
      </c>
      <c r="G9" s="159"/>
    </row>
    <row r="10" spans="1:11" x14ac:dyDescent="0.35">
      <c r="A10" s="158"/>
      <c r="B10" t="s">
        <v>215</v>
      </c>
      <c r="C10" s="157"/>
      <c r="D10" t="s">
        <v>269</v>
      </c>
      <c r="E10" t="s">
        <v>172</v>
      </c>
      <c r="F10" t="s">
        <v>336</v>
      </c>
      <c r="G10" s="159"/>
    </row>
    <row r="11" spans="1:11" x14ac:dyDescent="0.35">
      <c r="A11" s="158"/>
      <c r="B11" t="s">
        <v>320</v>
      </c>
      <c r="C11" s="157"/>
      <c r="D11" t="s">
        <v>269</v>
      </c>
      <c r="E11" s="36" t="s">
        <v>33</v>
      </c>
      <c r="F11" t="s">
        <v>337</v>
      </c>
      <c r="G11" s="159"/>
    </row>
    <row r="12" spans="1:11" x14ac:dyDescent="0.35">
      <c r="A12" s="158"/>
      <c r="B12" t="s">
        <v>321</v>
      </c>
      <c r="C12" s="157"/>
      <c r="D12" t="s">
        <v>269</v>
      </c>
      <c r="E12" s="36" t="s">
        <v>33</v>
      </c>
      <c r="F12" t="s">
        <v>337</v>
      </c>
      <c r="G12" s="159"/>
    </row>
    <row r="13" spans="1:11" ht="33" customHeight="1" x14ac:dyDescent="0.35">
      <c r="A13" s="158"/>
      <c r="B13" t="s">
        <v>322</v>
      </c>
      <c r="C13" s="156" t="s">
        <v>341</v>
      </c>
      <c r="D13" t="s">
        <v>314</v>
      </c>
      <c r="E13" t="s">
        <v>172</v>
      </c>
      <c r="F13" t="s">
        <v>338</v>
      </c>
      <c r="G13" s="159"/>
    </row>
    <row r="14" spans="1:11" ht="33" customHeight="1" x14ac:dyDescent="0.35">
      <c r="A14" s="158"/>
      <c r="B14" t="s">
        <v>323</v>
      </c>
      <c r="C14" s="156"/>
      <c r="D14" t="s">
        <v>314</v>
      </c>
      <c r="E14" t="s">
        <v>172</v>
      </c>
      <c r="F14" t="s">
        <v>338</v>
      </c>
      <c r="G14" s="159"/>
    </row>
    <row r="15" spans="1:11" ht="33" customHeight="1" x14ac:dyDescent="0.35">
      <c r="A15" s="158"/>
      <c r="B15" t="s">
        <v>324</v>
      </c>
      <c r="C15" s="156"/>
      <c r="D15" t="s">
        <v>314</v>
      </c>
      <c r="E15" t="s">
        <v>172</v>
      </c>
      <c r="F15" t="s">
        <v>338</v>
      </c>
      <c r="G15" s="159"/>
    </row>
    <row r="16" spans="1:11" ht="17.25" customHeight="1" x14ac:dyDescent="0.35">
      <c r="A16" s="126" t="s">
        <v>328</v>
      </c>
      <c r="B16" t="s">
        <v>325</v>
      </c>
      <c r="C16" s="36" t="s">
        <v>33</v>
      </c>
      <c r="D16" t="s">
        <v>311</v>
      </c>
      <c r="E16" t="s">
        <v>172</v>
      </c>
      <c r="F16" t="s">
        <v>338</v>
      </c>
      <c r="G16" s="159"/>
    </row>
  </sheetData>
  <mergeCells count="4">
    <mergeCell ref="C4:C12"/>
    <mergeCell ref="C13:C15"/>
    <mergeCell ref="A4:A15"/>
    <mergeCell ref="G4:G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8673-9E27-49F4-9013-F05CBDAED2E6}">
  <dimension ref="A2:J61"/>
  <sheetViews>
    <sheetView tabSelected="1" topLeftCell="A6" zoomScale="89" workbookViewId="0">
      <selection activeCell="I55" sqref="I55"/>
    </sheetView>
  </sheetViews>
  <sheetFormatPr defaultRowHeight="14.5" x14ac:dyDescent="0.35"/>
  <cols>
    <col min="1" max="1" width="22.453125" customWidth="1"/>
    <col min="2" max="2" width="27.81640625" customWidth="1"/>
    <col min="3" max="3" width="30.26953125" customWidth="1"/>
    <col min="4" max="4" width="28.1796875" customWidth="1"/>
    <col min="5" max="5" width="29.54296875" customWidth="1"/>
    <col min="6" max="6" width="15.7265625" customWidth="1"/>
    <col min="7" max="7" width="9.1796875" customWidth="1"/>
    <col min="8" max="8" width="18.54296875" customWidth="1"/>
  </cols>
  <sheetData>
    <row r="2" spans="1:10" ht="15" thickBot="1" x14ac:dyDescent="0.4"/>
    <row r="3" spans="1:10" ht="14.25" customHeight="1" x14ac:dyDescent="0.35">
      <c r="A3" s="160" t="s">
        <v>149</v>
      </c>
      <c r="B3" s="62" t="s">
        <v>306</v>
      </c>
    </row>
    <row r="4" spans="1:10" ht="24" customHeight="1" thickBot="1" x14ac:dyDescent="0.4">
      <c r="A4" s="161"/>
      <c r="B4" t="s">
        <v>157</v>
      </c>
      <c r="E4" s="37" t="s">
        <v>186</v>
      </c>
    </row>
    <row r="5" spans="1:10" ht="15.5" x14ac:dyDescent="0.35">
      <c r="A5" s="161"/>
      <c r="B5" s="57" t="s">
        <v>158</v>
      </c>
      <c r="C5" s="33" t="s">
        <v>159</v>
      </c>
      <c r="D5" s="6" t="s">
        <v>236</v>
      </c>
      <c r="F5" s="56" t="s">
        <v>233</v>
      </c>
      <c r="G5" s="6" t="s">
        <v>235</v>
      </c>
      <c r="H5" s="6" t="s">
        <v>234</v>
      </c>
      <c r="J5" s="6" t="s">
        <v>237</v>
      </c>
    </row>
    <row r="6" spans="1:10" ht="24" customHeight="1" x14ac:dyDescent="0.35">
      <c r="A6" s="161"/>
      <c r="B6" s="34" t="s">
        <v>160</v>
      </c>
      <c r="C6" s="54">
        <f>29.67 *10^3</f>
        <v>29670</v>
      </c>
      <c r="D6">
        <f>C6/10^6</f>
        <v>2.9669999999999998E-2</v>
      </c>
      <c r="F6" s="45" t="s">
        <v>200</v>
      </c>
      <c r="G6">
        <f>D6*14</f>
        <v>0.41537999999999997</v>
      </c>
      <c r="H6">
        <f>G6*1000</f>
        <v>415.38</v>
      </c>
      <c r="J6">
        <f t="shared" ref="J6:J18" si="0">H6-D23</f>
        <v>-27.620000000000005</v>
      </c>
    </row>
    <row r="7" spans="1:10" ht="24" customHeight="1" x14ac:dyDescent="0.35">
      <c r="A7" s="161"/>
      <c r="B7" s="34" t="s">
        <v>161</v>
      </c>
      <c r="C7" s="54">
        <f>5.44 *1000</f>
        <v>5440</v>
      </c>
      <c r="D7">
        <f t="shared" ref="D7:D16" si="1">C7/10^6</f>
        <v>5.4400000000000004E-3</v>
      </c>
      <c r="F7" s="45" t="s">
        <v>201</v>
      </c>
      <c r="G7">
        <f>D7*30.97+D8*30.97</f>
        <v>0.21369300000000002</v>
      </c>
      <c r="H7">
        <f t="shared" ref="H7:H17" si="2">G7*1000</f>
        <v>213.69300000000001</v>
      </c>
      <c r="J7">
        <f t="shared" si="0"/>
        <v>-0.30699999999998795</v>
      </c>
    </row>
    <row r="8" spans="1:10" ht="24" customHeight="1" x14ac:dyDescent="0.35">
      <c r="A8" s="161"/>
      <c r="B8" s="34" t="s">
        <v>162</v>
      </c>
      <c r="C8" s="54">
        <f>1.46 *1000</f>
        <v>1460</v>
      </c>
      <c r="D8">
        <f t="shared" si="1"/>
        <v>1.4599999999999999E-3</v>
      </c>
      <c r="F8" s="45" t="s">
        <v>203</v>
      </c>
      <c r="G8">
        <f>39.1*(D7+D6)</f>
        <v>1.3728010000000002</v>
      </c>
      <c r="H8">
        <f t="shared" si="2"/>
        <v>1372.8010000000002</v>
      </c>
      <c r="J8" s="51">
        <f t="shared" si="0"/>
        <v>1161.8010000000002</v>
      </c>
    </row>
    <row r="9" spans="1:10" ht="48" customHeight="1" x14ac:dyDescent="0.35">
      <c r="A9" s="161"/>
      <c r="B9" s="34" t="s">
        <v>163</v>
      </c>
      <c r="C9" s="54">
        <f>1.62 *1000</f>
        <v>1620</v>
      </c>
      <c r="D9">
        <f t="shared" si="1"/>
        <v>1.6199999999999999E-3</v>
      </c>
      <c r="F9" s="45" t="s">
        <v>205</v>
      </c>
      <c r="G9">
        <f>32.07*(D9+D15+D16)</f>
        <v>5.2545412200000002E-2</v>
      </c>
      <c r="H9">
        <f t="shared" si="2"/>
        <v>52.545412200000001</v>
      </c>
      <c r="J9">
        <f t="shared" si="0"/>
        <v>0.64541220000000266</v>
      </c>
    </row>
    <row r="10" spans="1:10" ht="36" customHeight="1" x14ac:dyDescent="0.35">
      <c r="A10" s="161"/>
      <c r="B10" s="34" t="s">
        <v>164</v>
      </c>
      <c r="C10" s="54">
        <v>88.43</v>
      </c>
      <c r="D10">
        <f t="shared" si="1"/>
        <v>8.8430000000000005E-5</v>
      </c>
      <c r="F10" s="45" t="s">
        <v>207</v>
      </c>
      <c r="G10">
        <f>22.99*(D12/2+D8/2+D11)</f>
        <v>2.6369529999999999E-2</v>
      </c>
      <c r="H10">
        <f t="shared" si="2"/>
        <v>26.369529999999997</v>
      </c>
      <c r="J10">
        <f t="shared" si="0"/>
        <v>-125.43047000000001</v>
      </c>
    </row>
    <row r="11" spans="1:10" x14ac:dyDescent="0.35">
      <c r="A11" s="161"/>
      <c r="B11" s="34" t="s">
        <v>165</v>
      </c>
      <c r="C11" s="54">
        <v>367</v>
      </c>
      <c r="D11">
        <f>C11/10^6</f>
        <v>3.6699999999999998E-4</v>
      </c>
      <c r="F11" s="45" t="s">
        <v>208</v>
      </c>
      <c r="G11">
        <f>D9*24.31</f>
        <v>3.9382199999999999E-2</v>
      </c>
      <c r="H11">
        <f t="shared" si="2"/>
        <v>39.382199999999997</v>
      </c>
      <c r="J11">
        <f t="shared" si="0"/>
        <v>0.48219999999999885</v>
      </c>
    </row>
    <row r="12" spans="1:10" ht="24" customHeight="1" x14ac:dyDescent="0.35">
      <c r="A12" s="161"/>
      <c r="B12" s="34" t="s">
        <v>166</v>
      </c>
      <c r="C12" s="54">
        <v>100</v>
      </c>
      <c r="D12">
        <f t="shared" si="1"/>
        <v>1E-4</v>
      </c>
      <c r="F12" s="45" t="s">
        <v>209</v>
      </c>
      <c r="G12">
        <f>D14*35.45/2</f>
        <v>1.1625827500000002E-3</v>
      </c>
      <c r="H12">
        <f t="shared" si="2"/>
        <v>1.1625827500000001</v>
      </c>
      <c r="J12">
        <f t="shared" si="0"/>
        <v>-10.13741725</v>
      </c>
    </row>
    <row r="13" spans="1:10" ht="24" customHeight="1" x14ac:dyDescent="0.35">
      <c r="A13" s="161"/>
      <c r="B13" s="34" t="s">
        <v>167</v>
      </c>
      <c r="C13" s="54">
        <v>1</v>
      </c>
      <c r="D13">
        <f t="shared" si="1"/>
        <v>9.9999999999999995E-7</v>
      </c>
      <c r="F13" s="45" t="s">
        <v>210</v>
      </c>
      <c r="G13">
        <f>D11*55.84</f>
        <v>2.0493279999999999E-2</v>
      </c>
      <c r="H13">
        <f t="shared" si="2"/>
        <v>20.493279999999999</v>
      </c>
      <c r="J13">
        <f t="shared" si="0"/>
        <v>3.6932799999999979</v>
      </c>
    </row>
    <row r="14" spans="1:10" ht="24.75" customHeight="1" x14ac:dyDescent="0.35">
      <c r="A14" s="161"/>
      <c r="B14" s="34" t="s">
        <v>168</v>
      </c>
      <c r="C14" s="54">
        <v>65.59</v>
      </c>
      <c r="D14">
        <f t="shared" si="1"/>
        <v>6.5590000000000001E-5</v>
      </c>
      <c r="F14" s="45" t="s">
        <v>211</v>
      </c>
      <c r="G14">
        <f>D14*54.9</f>
        <v>3.6008909999999997E-3</v>
      </c>
      <c r="H14">
        <f t="shared" si="2"/>
        <v>3.6008909999999998</v>
      </c>
      <c r="J14">
        <f t="shared" si="0"/>
        <v>-0.24910900000000025</v>
      </c>
    </row>
    <row r="15" spans="1:10" x14ac:dyDescent="0.35">
      <c r="A15" s="32"/>
      <c r="B15" s="34" t="s">
        <v>169</v>
      </c>
      <c r="C15" s="54">
        <v>11.13</v>
      </c>
      <c r="D15">
        <f t="shared" si="1"/>
        <v>1.113E-5</v>
      </c>
      <c r="F15" s="45" t="s">
        <v>212</v>
      </c>
      <c r="G15">
        <f>D10*40.1</f>
        <v>3.5460430000000005E-3</v>
      </c>
      <c r="H15">
        <f t="shared" si="2"/>
        <v>3.5460430000000005</v>
      </c>
      <c r="J15">
        <f t="shared" si="0"/>
        <v>-6.3956999999999375E-2</v>
      </c>
    </row>
    <row r="16" spans="1:10" ht="15" thickBot="1" x14ac:dyDescent="0.4">
      <c r="A16" s="32"/>
      <c r="B16" s="35" t="s">
        <v>170</v>
      </c>
      <c r="C16" s="55">
        <v>7.33</v>
      </c>
      <c r="D16">
        <f t="shared" si="1"/>
        <v>7.3300000000000001E-6</v>
      </c>
      <c r="F16" s="45" t="s">
        <v>213</v>
      </c>
      <c r="G16">
        <f>D15*65.4</f>
        <v>7.2790200000000011E-4</v>
      </c>
      <c r="H16">
        <f t="shared" si="2"/>
        <v>0.72790200000000016</v>
      </c>
      <c r="J16">
        <f t="shared" si="0"/>
        <v>7.7902000000000138E-2</v>
      </c>
    </row>
    <row r="17" spans="1:10" x14ac:dyDescent="0.35">
      <c r="A17" s="32"/>
      <c r="F17" s="45" t="s">
        <v>214</v>
      </c>
      <c r="G17">
        <f>D16*63.55</f>
        <v>4.6582150000000001E-4</v>
      </c>
      <c r="H17">
        <f t="shared" si="2"/>
        <v>0.4658215</v>
      </c>
      <c r="J17">
        <f t="shared" si="0"/>
        <v>2.5821499999999997E-2</v>
      </c>
    </row>
    <row r="18" spans="1:10" x14ac:dyDescent="0.35">
      <c r="A18" s="32"/>
      <c r="F18" s="45" t="s">
        <v>215</v>
      </c>
      <c r="G18">
        <f>D13*10.81</f>
        <v>1.081E-5</v>
      </c>
      <c r="H18">
        <f>G18*1000</f>
        <v>1.081E-2</v>
      </c>
      <c r="J18">
        <f t="shared" si="0"/>
        <v>-1.899999999999992E-4</v>
      </c>
    </row>
    <row r="19" spans="1:10" x14ac:dyDescent="0.35">
      <c r="A19" s="32"/>
    </row>
    <row r="20" spans="1:10" ht="34.5" customHeight="1" x14ac:dyDescent="0.35"/>
    <row r="21" spans="1:10" ht="15" thickBot="1" x14ac:dyDescent="0.4">
      <c r="A21" s="136" t="s">
        <v>196</v>
      </c>
      <c r="B21" s="62" t="s">
        <v>305</v>
      </c>
    </row>
    <row r="22" spans="1:10" ht="15" thickBot="1" x14ac:dyDescent="0.4">
      <c r="A22" s="137"/>
      <c r="B22" s="53" t="s">
        <v>197</v>
      </c>
      <c r="C22" s="47" t="s">
        <v>198</v>
      </c>
      <c r="D22" s="47" t="s">
        <v>199</v>
      </c>
      <c r="E22" s="49" t="s">
        <v>223</v>
      </c>
    </row>
    <row r="23" spans="1:10" x14ac:dyDescent="0.35">
      <c r="A23" s="137"/>
      <c r="B23" s="45" t="s">
        <v>200</v>
      </c>
      <c r="C23" s="45">
        <v>190</v>
      </c>
      <c r="D23" s="45">
        <v>443</v>
      </c>
      <c r="E23" s="38">
        <f>C23-D23</f>
        <v>-253</v>
      </c>
    </row>
    <row r="24" spans="1:10" x14ac:dyDescent="0.35">
      <c r="A24" s="137"/>
      <c r="B24" s="45" t="s">
        <v>201</v>
      </c>
      <c r="C24" s="45" t="s">
        <v>202</v>
      </c>
      <c r="D24" s="45">
        <v>214</v>
      </c>
      <c r="E24" s="38"/>
    </row>
    <row r="25" spans="1:10" x14ac:dyDescent="0.35">
      <c r="A25" s="137"/>
      <c r="B25" s="45" t="s">
        <v>203</v>
      </c>
      <c r="C25" s="45" t="s">
        <v>204</v>
      </c>
      <c r="D25" s="45">
        <v>211</v>
      </c>
      <c r="E25" s="38"/>
    </row>
    <row r="26" spans="1:10" x14ac:dyDescent="0.35">
      <c r="A26" s="137"/>
      <c r="B26" s="45" t="s">
        <v>205</v>
      </c>
      <c r="C26" s="46" t="s">
        <v>206</v>
      </c>
      <c r="D26" s="45">
        <v>51.9</v>
      </c>
      <c r="E26" s="38"/>
    </row>
    <row r="27" spans="1:10" x14ac:dyDescent="0.35">
      <c r="A27" s="137"/>
      <c r="B27" s="45" t="s">
        <v>207</v>
      </c>
      <c r="C27" s="45">
        <v>1500</v>
      </c>
      <c r="D27" s="45">
        <v>151.80000000000001</v>
      </c>
      <c r="E27" s="50">
        <f t="shared" ref="E27:E36" si="3">C27-D27</f>
        <v>1348.2</v>
      </c>
    </row>
    <row r="28" spans="1:10" x14ac:dyDescent="0.35">
      <c r="A28" s="137"/>
      <c r="B28" s="45" t="s">
        <v>208</v>
      </c>
      <c r="C28" s="45">
        <v>17</v>
      </c>
      <c r="D28" s="45">
        <v>38.9</v>
      </c>
      <c r="E28" s="38">
        <f t="shared" si="3"/>
        <v>-21.9</v>
      </c>
    </row>
    <row r="29" spans="1:10" x14ac:dyDescent="0.35">
      <c r="A29" s="137"/>
      <c r="B29" s="45" t="s">
        <v>209</v>
      </c>
      <c r="C29" s="45">
        <v>1200</v>
      </c>
      <c r="D29" s="45">
        <v>11.3</v>
      </c>
      <c r="E29" s="50">
        <f t="shared" si="3"/>
        <v>1188.7</v>
      </c>
    </row>
    <row r="30" spans="1:10" x14ac:dyDescent="0.35">
      <c r="A30" s="137"/>
      <c r="B30" s="45" t="s">
        <v>210</v>
      </c>
      <c r="C30" s="45">
        <v>0.23</v>
      </c>
      <c r="D30" s="45">
        <v>16.8</v>
      </c>
      <c r="E30" s="38">
        <f t="shared" si="3"/>
        <v>-16.57</v>
      </c>
    </row>
    <row r="31" spans="1:10" x14ac:dyDescent="0.35">
      <c r="A31" s="137"/>
      <c r="B31" s="45" t="s">
        <v>211</v>
      </c>
      <c r="C31" s="45">
        <v>0.24</v>
      </c>
      <c r="D31" s="45">
        <v>3.85</v>
      </c>
      <c r="E31" s="38">
        <f t="shared" si="3"/>
        <v>-3.6100000000000003</v>
      </c>
    </row>
    <row r="32" spans="1:10" x14ac:dyDescent="0.35">
      <c r="A32" s="137"/>
      <c r="B32" s="45" t="s">
        <v>212</v>
      </c>
      <c r="C32" s="45">
        <v>120</v>
      </c>
      <c r="D32" s="45">
        <v>3.61</v>
      </c>
      <c r="E32" s="50">
        <f t="shared" si="3"/>
        <v>116.39</v>
      </c>
    </row>
    <row r="33" spans="1:7" x14ac:dyDescent="0.35">
      <c r="A33" s="137"/>
      <c r="B33" s="45" t="s">
        <v>213</v>
      </c>
      <c r="C33" s="45">
        <v>0.23</v>
      </c>
      <c r="D33" s="45">
        <v>0.65</v>
      </c>
      <c r="E33" s="38">
        <f t="shared" si="3"/>
        <v>-0.42000000000000004</v>
      </c>
    </row>
    <row r="34" spans="1:7" x14ac:dyDescent="0.35">
      <c r="A34" s="137"/>
      <c r="B34" s="45" t="s">
        <v>214</v>
      </c>
      <c r="C34" s="45">
        <v>3.3999999999999998E-3</v>
      </c>
      <c r="D34" s="45">
        <v>0.44</v>
      </c>
      <c r="E34" s="38">
        <f t="shared" si="3"/>
        <v>-0.43659999999999999</v>
      </c>
    </row>
    <row r="35" spans="1:7" x14ac:dyDescent="0.35">
      <c r="A35" s="137"/>
      <c r="B35" s="45" t="s">
        <v>215</v>
      </c>
      <c r="C35" s="45">
        <v>0.18</v>
      </c>
      <c r="D35" s="45">
        <v>1.0999999999999999E-2</v>
      </c>
      <c r="E35" s="38">
        <f t="shared" si="3"/>
        <v>0.16899999999999998</v>
      </c>
    </row>
    <row r="36" spans="1:7" x14ac:dyDescent="0.35">
      <c r="A36" s="137"/>
      <c r="B36" s="45" t="s">
        <v>216</v>
      </c>
      <c r="C36" s="45">
        <v>400</v>
      </c>
      <c r="D36" s="45">
        <v>0</v>
      </c>
      <c r="E36" s="50">
        <f t="shared" si="3"/>
        <v>400</v>
      </c>
      <c r="F36" s="51" t="s">
        <v>224</v>
      </c>
    </row>
    <row r="37" spans="1:7" ht="15" thickBot="1" x14ac:dyDescent="0.4">
      <c r="A37" s="137"/>
      <c r="B37" s="48" t="s">
        <v>217</v>
      </c>
      <c r="C37" s="48">
        <v>590</v>
      </c>
      <c r="D37" s="48" t="s">
        <v>218</v>
      </c>
      <c r="E37" s="38"/>
    </row>
    <row r="38" spans="1:7" x14ac:dyDescent="0.35">
      <c r="A38" s="137"/>
    </row>
    <row r="39" spans="1:7" x14ac:dyDescent="0.35">
      <c r="A39" s="137"/>
    </row>
    <row r="40" spans="1:7" x14ac:dyDescent="0.35">
      <c r="A40" s="137"/>
    </row>
    <row r="43" spans="1:7" ht="16" thickBot="1" x14ac:dyDescent="0.4">
      <c r="A43" s="146" t="s">
        <v>239</v>
      </c>
      <c r="B43" s="122" t="s">
        <v>304</v>
      </c>
    </row>
    <row r="44" spans="1:7" ht="15" thickBot="1" x14ac:dyDescent="0.4">
      <c r="A44" s="147"/>
      <c r="B44" s="47" t="s">
        <v>197</v>
      </c>
      <c r="C44" s="47" t="s">
        <v>277</v>
      </c>
      <c r="E44" t="s">
        <v>300</v>
      </c>
      <c r="F44" t="s">
        <v>299</v>
      </c>
    </row>
    <row r="45" spans="1:7" x14ac:dyDescent="0.35">
      <c r="A45" s="147"/>
      <c r="B45" s="45" t="s">
        <v>278</v>
      </c>
      <c r="C45" s="45">
        <v>1.45</v>
      </c>
      <c r="E45" s="97" t="s">
        <v>290</v>
      </c>
      <c r="F45" s="7"/>
      <c r="G45" s="91"/>
    </row>
    <row r="46" spans="1:7" x14ac:dyDescent="0.35">
      <c r="A46" s="147"/>
      <c r="B46" s="45" t="s">
        <v>279</v>
      </c>
      <c r="C46" s="45">
        <v>0.28100000000000003</v>
      </c>
      <c r="E46" s="10" t="s">
        <v>283</v>
      </c>
      <c r="G46" s="94"/>
    </row>
    <row r="47" spans="1:7" x14ac:dyDescent="0.35">
      <c r="A47" s="147"/>
      <c r="B47" s="45" t="s">
        <v>280</v>
      </c>
      <c r="C47" s="45">
        <v>0.05</v>
      </c>
      <c r="E47" s="10" t="s">
        <v>284</v>
      </c>
      <c r="G47" s="94"/>
    </row>
    <row r="48" spans="1:7" x14ac:dyDescent="0.35">
      <c r="A48" s="147"/>
      <c r="B48" s="45" t="s">
        <v>281</v>
      </c>
      <c r="C48" s="45">
        <v>0.60899999999999999</v>
      </c>
      <c r="E48" s="10" t="s">
        <v>285</v>
      </c>
      <c r="G48" s="94"/>
    </row>
    <row r="49" spans="1:7" x14ac:dyDescent="0.35">
      <c r="A49" s="147"/>
      <c r="B49" s="45" t="s">
        <v>282</v>
      </c>
      <c r="C49" s="45">
        <v>1.68</v>
      </c>
      <c r="E49" s="10" t="s">
        <v>286</v>
      </c>
      <c r="G49" s="94"/>
    </row>
    <row r="50" spans="1:7" x14ac:dyDescent="0.35">
      <c r="A50" s="147"/>
      <c r="B50" s="116" t="s">
        <v>291</v>
      </c>
      <c r="C50" s="119">
        <f>50/250/1.5</f>
        <v>0.13333333333333333</v>
      </c>
      <c r="E50" s="10" t="s">
        <v>287</v>
      </c>
      <c r="G50" s="94"/>
    </row>
    <row r="51" spans="1:7" x14ac:dyDescent="0.35">
      <c r="A51" s="147"/>
      <c r="B51" s="117" t="s">
        <v>292</v>
      </c>
      <c r="C51" s="120">
        <f>22/100/1.5</f>
        <v>0.14666666666666667</v>
      </c>
      <c r="E51" s="10" t="s">
        <v>288</v>
      </c>
      <c r="G51" s="94"/>
    </row>
    <row r="52" spans="1:7" x14ac:dyDescent="0.35">
      <c r="A52" s="147"/>
      <c r="B52" s="117" t="s">
        <v>293</v>
      </c>
      <c r="C52" s="120">
        <f>11.4/200/1.5</f>
        <v>3.7999999999999999E-2</v>
      </c>
      <c r="E52" s="115" t="s">
        <v>289</v>
      </c>
      <c r="F52" s="42"/>
      <c r="G52" s="96"/>
    </row>
    <row r="53" spans="1:7" x14ac:dyDescent="0.35">
      <c r="A53" s="147"/>
      <c r="B53" s="117" t="s">
        <v>294</v>
      </c>
      <c r="C53" s="120">
        <f>5.06/50/1.5</f>
        <v>6.7466666666666661E-2</v>
      </c>
    </row>
    <row r="54" spans="1:7" x14ac:dyDescent="0.35">
      <c r="A54" s="147"/>
      <c r="B54" s="117" t="s">
        <v>295</v>
      </c>
      <c r="C54" s="120">
        <f>1.61/50/1.5</f>
        <v>2.1466666666666665E-2</v>
      </c>
      <c r="E54" t="s">
        <v>301</v>
      </c>
    </row>
    <row r="55" spans="1:7" x14ac:dyDescent="0.35">
      <c r="A55" s="147"/>
      <c r="B55" s="117" t="s">
        <v>296</v>
      </c>
      <c r="C55" s="120">
        <f>1.57/50/1.5</f>
        <v>2.0933333333333335E-2</v>
      </c>
      <c r="E55" t="s">
        <v>302</v>
      </c>
    </row>
    <row r="56" spans="1:7" x14ac:dyDescent="0.35">
      <c r="A56" s="147"/>
      <c r="B56" s="117" t="s">
        <v>297</v>
      </c>
      <c r="C56" s="120">
        <f>1.1/50/1.5</f>
        <v>1.4666666666666668E-2</v>
      </c>
      <c r="E56" t="s">
        <v>303</v>
      </c>
    </row>
    <row r="57" spans="1:7" x14ac:dyDescent="0.35">
      <c r="A57" s="147"/>
      <c r="B57" s="118" t="s">
        <v>298</v>
      </c>
      <c r="C57" s="121">
        <f>4.99/50/1.5</f>
        <v>6.6533333333333333E-2</v>
      </c>
    </row>
    <row r="58" spans="1:7" x14ac:dyDescent="0.35">
      <c r="A58" s="147"/>
      <c r="B58" s="45"/>
      <c r="C58" s="45"/>
    </row>
    <row r="59" spans="1:7" ht="15" thickBot="1" x14ac:dyDescent="0.4">
      <c r="A59" s="147"/>
      <c r="B59" s="48"/>
      <c r="C59" s="48"/>
    </row>
    <row r="60" spans="1:7" x14ac:dyDescent="0.35">
      <c r="A60" s="147"/>
    </row>
    <row r="61" spans="1:7" x14ac:dyDescent="0.35">
      <c r="A61" s="148"/>
    </row>
  </sheetData>
  <mergeCells count="3">
    <mergeCell ref="A3:A14"/>
    <mergeCell ref="A21:A40"/>
    <mergeCell ref="A43:A61"/>
  </mergeCells>
  <hyperlinks>
    <hyperlink ref="C26" r:id="rId1" location="tbl1fna" display="https://www.sciencedirect.com/science/article/pii/S0043135415000950 - tbl1fna" xr:uid="{0C8982F0-D284-4A41-931B-86349D9B50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notes</vt:lpstr>
      <vt:lpstr>equations and variables</vt:lpstr>
      <vt:lpstr>param from literature</vt:lpstr>
      <vt:lpstr>data</vt:lpstr>
      <vt:lpstr>data for paper</vt:lpstr>
      <vt:lpstr>medium composition</vt:lpstr>
      <vt:lpstr>data!anna_44b_1</vt:lpstr>
      <vt:lpstr>data!anna_A10_501</vt:lpstr>
      <vt:lpstr>data!takache_batch_701</vt:lpstr>
      <vt:lpstr>data!takache_batch_702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Lara Greco</dc:creator>
  <cp:lastModifiedBy>Abhishek Sivaram</cp:lastModifiedBy>
  <dcterms:created xsi:type="dcterms:W3CDTF">2015-06-05T18:17:20Z</dcterms:created>
  <dcterms:modified xsi:type="dcterms:W3CDTF">2025-11-22T10:53:13Z</dcterms:modified>
</cp:coreProperties>
</file>